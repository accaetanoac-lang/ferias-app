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-SRV03\PROJETO-FERIAS\"/>
    </mc:Choice>
  </mc:AlternateContent>
  <xr:revisionPtr revIDLastSave="0" documentId="8_{BD74224C-D0D5-4B13-9207-C495318EB58F}" xr6:coauthVersionLast="47" xr6:coauthVersionMax="47" xr10:uidLastSave="{00000000-0000-0000-0000-000000000000}"/>
  <bookViews>
    <workbookView xWindow="-108" yWindow="-108" windowWidth="23256" windowHeight="12456" activeTab="2" xr2:uid="{432FD8AF-BA05-4C63-AC50-E175390508A1}"/>
  </bookViews>
  <sheets>
    <sheet name="Orientações" sheetId="3" r:id="rId1"/>
    <sheet name="Controle de Férias" sheetId="1" r:id="rId2"/>
    <sheet name="Planilha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1" l="1"/>
  <c r="F33" i="1"/>
  <c r="J33" i="1"/>
  <c r="L33" i="1"/>
  <c r="N33" i="1"/>
  <c r="O33" i="1"/>
  <c r="E31" i="1"/>
  <c r="F31" i="1"/>
  <c r="J31" i="1"/>
  <c r="L31" i="1"/>
  <c r="N31" i="1"/>
  <c r="O31" i="1"/>
  <c r="E28" i="1"/>
  <c r="F28" i="1"/>
  <c r="J28" i="1"/>
  <c r="L28" i="1"/>
  <c r="N28" i="1"/>
  <c r="O28" i="1"/>
  <c r="E20" i="1"/>
  <c r="F20" i="1"/>
  <c r="J20" i="1"/>
  <c r="L20" i="1"/>
  <c r="N20" i="1"/>
  <c r="O20" i="1"/>
  <c r="E16" i="1"/>
  <c r="F16" i="1"/>
  <c r="J16" i="1"/>
  <c r="L16" i="1"/>
  <c r="N16" i="1"/>
  <c r="O16" i="1"/>
  <c r="E12" i="1"/>
  <c r="F12" i="1"/>
  <c r="J12" i="1"/>
  <c r="L12" i="1"/>
  <c r="N12" i="1"/>
  <c r="O12" i="1"/>
  <c r="E10" i="1"/>
  <c r="F10" i="1"/>
  <c r="J10" i="1"/>
  <c r="L10" i="1"/>
  <c r="N10" i="1"/>
  <c r="O10" i="1"/>
  <c r="E4" i="1"/>
  <c r="F4" i="1"/>
  <c r="J4" i="1"/>
  <c r="L4" i="1"/>
  <c r="N4" i="1"/>
  <c r="O4" i="1"/>
  <c r="E27" i="1"/>
  <c r="F27" i="1"/>
  <c r="J27" i="1"/>
  <c r="L27" i="1"/>
  <c r="N27" i="1"/>
  <c r="O27" i="1"/>
  <c r="E29" i="1"/>
  <c r="F29" i="1"/>
  <c r="J29" i="1"/>
  <c r="L29" i="1"/>
  <c r="N29" i="1"/>
  <c r="O29" i="1"/>
  <c r="E30" i="1"/>
  <c r="F30" i="1"/>
  <c r="J30" i="1"/>
  <c r="L30" i="1"/>
  <c r="N30" i="1"/>
  <c r="O30" i="1"/>
  <c r="E32" i="1"/>
  <c r="F32" i="1"/>
  <c r="J32" i="1"/>
  <c r="L32" i="1"/>
  <c r="N32" i="1"/>
  <c r="O32" i="1"/>
  <c r="E21" i="1"/>
  <c r="F21" i="1"/>
  <c r="J21" i="1"/>
  <c r="L21" i="1"/>
  <c r="N21" i="1"/>
  <c r="O21" i="1"/>
  <c r="E22" i="1"/>
  <c r="F22" i="1"/>
  <c r="J22" i="1"/>
  <c r="L22" i="1"/>
  <c r="N22" i="1"/>
  <c r="O22" i="1"/>
  <c r="E23" i="1"/>
  <c r="F23" i="1"/>
  <c r="J23" i="1"/>
  <c r="L23" i="1"/>
  <c r="N23" i="1"/>
  <c r="O23" i="1"/>
  <c r="E24" i="1"/>
  <c r="F24" i="1"/>
  <c r="J24" i="1"/>
  <c r="L24" i="1"/>
  <c r="N24" i="1"/>
  <c r="O24" i="1"/>
  <c r="E25" i="1"/>
  <c r="F25" i="1"/>
  <c r="J25" i="1"/>
  <c r="L25" i="1"/>
  <c r="N25" i="1"/>
  <c r="O25" i="1"/>
  <c r="E26" i="1"/>
  <c r="F26" i="1"/>
  <c r="J26" i="1"/>
  <c r="L26" i="1"/>
  <c r="N26" i="1"/>
  <c r="O26" i="1"/>
  <c r="J19" i="1"/>
  <c r="J18" i="1"/>
  <c r="J17" i="1"/>
  <c r="J15" i="1"/>
  <c r="J14" i="1"/>
  <c r="J13" i="1"/>
  <c r="J11" i="1"/>
  <c r="J9" i="1"/>
  <c r="J8" i="1"/>
  <c r="J7" i="1"/>
  <c r="J6" i="1"/>
  <c r="J5" i="1"/>
  <c r="J3" i="1"/>
  <c r="N3" i="1"/>
  <c r="N5" i="1"/>
  <c r="N6" i="1"/>
  <c r="N7" i="1"/>
  <c r="N8" i="1"/>
  <c r="N9" i="1"/>
  <c r="N11" i="1"/>
  <c r="N13" i="1"/>
  <c r="N14" i="1"/>
  <c r="N15" i="1"/>
  <c r="N17" i="1"/>
  <c r="N18" i="1"/>
  <c r="N19" i="1"/>
  <c r="L3" i="1"/>
  <c r="L5" i="1"/>
  <c r="L8" i="1" l="1"/>
  <c r="E3" i="1"/>
  <c r="F3" i="1"/>
  <c r="O3" i="1" s="1"/>
  <c r="E5" i="1" l="1"/>
  <c r="E6" i="1"/>
  <c r="E7" i="1"/>
  <c r="E8" i="1"/>
  <c r="E9" i="1"/>
  <c r="E11" i="1"/>
  <c r="E13" i="1"/>
  <c r="E14" i="1"/>
  <c r="E15" i="1"/>
  <c r="E17" i="1"/>
  <c r="E18" i="1"/>
  <c r="E19" i="1"/>
  <c r="L6" i="1" l="1"/>
  <c r="L7" i="1"/>
  <c r="L9" i="1"/>
  <c r="L11" i="1"/>
  <c r="L13" i="1"/>
  <c r="L14" i="1"/>
  <c r="L15" i="1"/>
  <c r="L17" i="1"/>
  <c r="L18" i="1"/>
  <c r="L19" i="1"/>
  <c r="O19" i="1"/>
  <c r="F19" i="1"/>
  <c r="O18" i="1"/>
  <c r="F18" i="1"/>
  <c r="O17" i="1"/>
  <c r="F17" i="1"/>
  <c r="O15" i="1"/>
  <c r="F15" i="1"/>
  <c r="O14" i="1"/>
  <c r="F14" i="1"/>
  <c r="F13" i="1"/>
  <c r="O13" i="1" s="1"/>
  <c r="F11" i="1"/>
  <c r="O11" i="1" s="1"/>
  <c r="F9" i="1"/>
  <c r="O9" i="1" s="1"/>
  <c r="O8" i="1"/>
  <c r="F8" i="1"/>
  <c r="F7" i="1"/>
  <c r="O7" i="1" s="1"/>
  <c r="F6" i="1"/>
  <c r="O6" i="1" s="1"/>
  <c r="F5" i="1"/>
  <c r="O5" i="1" s="1"/>
  <c r="T3" i="1"/>
  <c r="D33" i="1" s="1"/>
  <c r="D31" i="1" l="1"/>
  <c r="D32" i="1"/>
  <c r="D29" i="1"/>
  <c r="D30" i="1"/>
  <c r="D27" i="1"/>
  <c r="D28" i="1"/>
  <c r="D25" i="1"/>
  <c r="D26" i="1"/>
  <c r="D23" i="1"/>
  <c r="D24" i="1"/>
  <c r="D21" i="1"/>
  <c r="D22" i="1"/>
  <c r="D17" i="1"/>
  <c r="D20" i="1"/>
  <c r="D19" i="1"/>
  <c r="D18" i="1"/>
  <c r="D14" i="1"/>
  <c r="D16" i="1"/>
  <c r="D15" i="1"/>
  <c r="D10" i="1"/>
  <c r="D12" i="1"/>
  <c r="D6" i="1"/>
  <c r="D4" i="1"/>
  <c r="D13" i="1"/>
  <c r="D11" i="1"/>
  <c r="D9" i="1"/>
  <c r="D8" i="1"/>
  <c r="D7" i="1"/>
  <c r="D3" i="1"/>
  <c r="D5" i="1"/>
</calcChain>
</file>

<file path=xl/sharedStrings.xml><?xml version="1.0" encoding="utf-8"?>
<sst xmlns="http://schemas.openxmlformats.org/spreadsheetml/2006/main" count="220" uniqueCount="176">
  <si>
    <t>Período Aquisitivo</t>
  </si>
  <si>
    <t>Situação</t>
  </si>
  <si>
    <t>Limite de Gozo</t>
  </si>
  <si>
    <t>Data Base</t>
  </si>
  <si>
    <t>Período de Gozo 1</t>
  </si>
  <si>
    <t>Período de Gozo 2</t>
  </si>
  <si>
    <t xml:space="preserve">Dias Disponíveis </t>
  </si>
  <si>
    <t>Vencimento</t>
  </si>
  <si>
    <t>Dias Restantes</t>
  </si>
  <si>
    <t>Orientações Para as Solicitações de Férias</t>
  </si>
  <si>
    <t>Férias Agendadas</t>
  </si>
  <si>
    <t>Introdução</t>
  </si>
  <si>
    <t>Esta planilha de solicitação de férias foi desenvolvida com o objetivo de facilitar a organização das solicitações e proporcionar um acompanhamento eficiente das férias dos colaboradores do setor.</t>
  </si>
  <si>
    <t>Instruções de Uso da Planilha de Controle de Férias</t>
  </si>
  <si>
    <t>Estrutura da Planilha</t>
  </si>
  <si>
    <t>A aba "Controle de Férias" possui as seguintes colunas:</t>
  </si>
  <si>
    <t>Abono de Férias</t>
  </si>
  <si>
    <t xml:space="preserve">Informações Sobre Férias </t>
  </si>
  <si>
    <t>Prazo Para Entrega das Solicitações de Férias</t>
  </si>
  <si>
    <r>
      <rPr>
        <b/>
        <sz val="13"/>
        <color theme="1"/>
        <rFont val="Calibri"/>
        <family val="2"/>
      </rPr>
      <t>Nome do funcionário</t>
    </r>
    <r>
      <rPr>
        <sz val="13"/>
        <color theme="1"/>
        <rFont val="Calibri"/>
        <family val="2"/>
      </rPr>
      <t>: Identificação do colaborador.</t>
    </r>
  </si>
  <si>
    <r>
      <rPr>
        <b/>
        <sz val="13"/>
        <color theme="1"/>
        <rFont val="Calibri"/>
        <family val="2"/>
      </rPr>
      <t>Período aquisitivo</t>
    </r>
    <r>
      <rPr>
        <sz val="13"/>
        <color theme="1"/>
        <rFont val="Calibri"/>
        <family val="2"/>
      </rPr>
      <t>: Período(s) em que o funcionário adquiriu ou irá adquirir o direito às férias, contendo as datas de início e término.</t>
    </r>
  </si>
  <si>
    <r>
      <rPr>
        <b/>
        <sz val="13"/>
        <color theme="1"/>
        <rFont val="Calibri"/>
        <family val="2"/>
      </rPr>
      <t>Situação</t>
    </r>
    <r>
      <rPr>
        <sz val="13"/>
        <color theme="1"/>
        <rFont val="Calibri"/>
        <family val="2"/>
      </rPr>
      <t>: Indica a condição das férias, como por exemplo, Férias vencidas ou A vencer.</t>
    </r>
  </si>
  <si>
    <r>
      <rPr>
        <b/>
        <sz val="13"/>
        <color theme="1"/>
        <rFont val="Calibri"/>
        <family val="2"/>
      </rPr>
      <t>Vencimento</t>
    </r>
    <r>
      <rPr>
        <sz val="13"/>
        <color theme="1"/>
        <rFont val="Calibri"/>
        <family val="2"/>
      </rPr>
      <t>: Data a partir da qual é permitido realizar o agendamento das férias.</t>
    </r>
  </si>
  <si>
    <r>
      <rPr>
        <b/>
        <sz val="13"/>
        <color theme="1"/>
        <rFont val="Calibri"/>
        <family val="2"/>
      </rPr>
      <t>Dias disponíveis</t>
    </r>
    <r>
      <rPr>
        <sz val="13"/>
        <color theme="1"/>
        <rFont val="Calibri"/>
        <family val="2"/>
      </rPr>
      <t>: Total de dias de férias a que o colaborador tem direito.</t>
    </r>
  </si>
  <si>
    <r>
      <rPr>
        <b/>
        <sz val="13"/>
        <color theme="1"/>
        <rFont val="Calibri"/>
        <family val="2"/>
      </rPr>
      <t>Dias restantes</t>
    </r>
    <r>
      <rPr>
        <sz val="13"/>
        <color theme="1"/>
        <rFont val="Calibri"/>
        <family val="2"/>
      </rPr>
      <t>: Total de dias de férias ainda disponíveis para gozo.</t>
    </r>
  </si>
  <si>
    <r>
      <rPr>
        <b/>
        <sz val="13"/>
        <color theme="1"/>
        <rFont val="Calibri"/>
        <family val="2"/>
      </rPr>
      <t>Abono de férias</t>
    </r>
    <r>
      <rPr>
        <sz val="13"/>
        <color theme="1"/>
        <rFont val="Calibri"/>
        <family val="2"/>
      </rPr>
      <t>: Campo destinado à informação se o colaborador optou ou não pelo abono de férias.</t>
    </r>
  </si>
  <si>
    <r>
      <rPr>
        <b/>
        <sz val="13"/>
        <color theme="1"/>
        <rFont val="Calibri"/>
        <family val="2"/>
      </rPr>
      <t>Férias agendadas</t>
    </r>
    <r>
      <rPr>
        <sz val="13"/>
        <color theme="1"/>
        <rFont val="Calibri"/>
        <family val="2"/>
      </rPr>
      <t>: Registro das férias que já foram previamente agendadas.</t>
    </r>
  </si>
  <si>
    <r>
      <rPr>
        <b/>
        <sz val="13"/>
        <color theme="1"/>
        <rFont val="Calibri"/>
        <family val="2"/>
      </rPr>
      <t>Data-base</t>
    </r>
    <r>
      <rPr>
        <sz val="13"/>
        <color theme="1"/>
        <rFont val="Calibri"/>
        <family val="2"/>
      </rPr>
      <t>: Data de referência utilizada para os cálculos relacionados às férias.</t>
    </r>
  </si>
  <si>
    <t>1° Parcela de 13° Salário</t>
  </si>
  <si>
    <t>Períodos de Férias</t>
  </si>
  <si>
    <t>Para as solicitações, deverão ser consideradas as seguintes opções de fracionamento:</t>
  </si>
  <si>
    <t>15 e 15</t>
  </si>
  <si>
    <t>20 e 10</t>
  </si>
  <si>
    <t>Cores da aba "Controle de Férias"</t>
  </si>
  <si>
    <t>Preencher</t>
  </si>
  <si>
    <t>Não Preencher</t>
  </si>
  <si>
    <r>
      <rPr>
        <b/>
        <sz val="13"/>
        <color theme="1"/>
        <rFont val="Calibri"/>
        <family val="2"/>
      </rPr>
      <t>Início das férias</t>
    </r>
    <r>
      <rPr>
        <sz val="13"/>
        <color theme="1"/>
        <rFont val="Calibri"/>
        <family val="2"/>
      </rPr>
      <t>: As férias não poderão ter início nos dois dias que antecedem feriado ou o descanso semanal remunerado.</t>
    </r>
  </si>
  <si>
    <t>Exemplo 1: As férias não poderão iniciar no domingo, sábado ou sexta-feira.</t>
  </si>
  <si>
    <t>Exemplo 2: Havendo feriado em uma quarta-feira, as férias não poderão iniciar na quarta-feira, terça-feira ou segunda-feira.</t>
  </si>
  <si>
    <r>
      <rPr>
        <b/>
        <sz val="13"/>
        <color theme="1"/>
        <rFont val="Calibri"/>
        <family val="2"/>
      </rPr>
      <t>Faltas durante o ano/período aquisitivo</t>
    </r>
    <r>
      <rPr>
        <sz val="13"/>
        <color theme="1"/>
        <rFont val="Calibri"/>
        <family val="2"/>
      </rPr>
      <t xml:space="preserve">: Poderá haver alteração na quantidade de dias de férias disponíveis para gozo (conforme informado na aba Controle de Férias) em razão de faltas injustificadas ocorridas </t>
    </r>
  </si>
  <si>
    <t>ao longo do ano. A confirmação do período de férias será realizada pelo Departamento Pessoal com antecedência mínima de 30 dias da data de início.</t>
  </si>
  <si>
    <r>
      <rPr>
        <b/>
        <sz val="13"/>
        <color theme="1"/>
        <rFont val="Calibri"/>
        <family val="2"/>
      </rPr>
      <t>Limite de gozo</t>
    </r>
    <r>
      <rPr>
        <sz val="13"/>
        <color theme="1"/>
        <rFont val="Calibri"/>
        <family val="2"/>
      </rPr>
      <t>: Data limite para que o colaborador usufrua das férias.</t>
    </r>
  </si>
  <si>
    <r>
      <rPr>
        <b/>
        <sz val="13"/>
        <color theme="1"/>
        <rFont val="Calibri"/>
        <family val="2"/>
      </rPr>
      <t>Situação</t>
    </r>
    <r>
      <rPr>
        <sz val="13"/>
        <color theme="1"/>
        <rFont val="Calibri"/>
        <family val="2"/>
      </rPr>
      <t>: Indica se o período de gozo das férias foi agendado dentro ou fora do prazo legal.</t>
    </r>
  </si>
  <si>
    <r>
      <t xml:space="preserve">1° Parcela de 13° Salário: </t>
    </r>
    <r>
      <rPr>
        <sz val="13"/>
        <color theme="1"/>
        <rFont val="Calibri"/>
        <family val="2"/>
      </rPr>
      <t>Campo destinado à informação se o colaborador optou ou não pela primeira parcela do décimo junto com as férias.</t>
    </r>
  </si>
  <si>
    <t>Dias de Gozo 1</t>
  </si>
  <si>
    <t>Dias de Gozo 2</t>
  </si>
  <si>
    <r>
      <rPr>
        <b/>
        <sz val="13"/>
        <color theme="1"/>
        <rFont val="Calibri"/>
        <family val="2"/>
      </rPr>
      <t>Primeira parcela do 13º salário nas férias</t>
    </r>
    <r>
      <rPr>
        <sz val="13"/>
        <color theme="1"/>
        <rFont val="Calibri"/>
        <family val="2"/>
      </rPr>
      <t>: O colaborador poderá solicitar o pagamento da primeira parcela do 13º salário juntamente com as férias, desde que a solicitação seja realizada por escrito e entregue  ao</t>
    </r>
  </si>
  <si>
    <t>Departamento Pessoal até odia 31/01/2026.</t>
  </si>
  <si>
    <r>
      <rPr>
        <b/>
        <sz val="13"/>
        <color theme="1"/>
        <rFont val="Calibri"/>
        <family val="2"/>
      </rPr>
      <t>Dias para gozo 1 e 2</t>
    </r>
    <r>
      <rPr>
        <sz val="13"/>
        <color theme="1"/>
        <rFont val="Calibri"/>
        <family val="2"/>
      </rPr>
      <t>: Quantidade de dias de férias que o colaborador irá usufruir no período informado.</t>
    </r>
  </si>
  <si>
    <r>
      <rPr>
        <b/>
        <sz val="13"/>
        <color theme="1"/>
        <rFont val="Calibri"/>
        <family val="2"/>
      </rPr>
      <t>Período de gozo 1 e Período de gozo 2</t>
    </r>
    <r>
      <rPr>
        <sz val="13"/>
        <color theme="1"/>
        <rFont val="Calibri"/>
        <family val="2"/>
      </rPr>
      <t>: Campos destinados ao registro das datas de início do gozo das férias (</t>
    </r>
    <r>
      <rPr>
        <b/>
        <sz val="13"/>
        <color rgb="FFFF0000"/>
        <rFont val="Calibri"/>
        <family val="2"/>
      </rPr>
      <t>de acordo com orientação do GGN, os colaboradores devem gozar de férias em depois períodos</t>
    </r>
    <r>
      <rPr>
        <sz val="13"/>
        <color theme="1"/>
        <rFont val="Calibri"/>
        <family val="2"/>
      </rPr>
      <t>).</t>
    </r>
  </si>
  <si>
    <t>Pessoal até 15 (quinze) dias antes do vencimento do período aquisitivo.</t>
  </si>
  <si>
    <r>
      <rPr>
        <b/>
        <sz val="13"/>
        <color theme="1"/>
        <rFont val="Calibri"/>
        <family val="2"/>
      </rPr>
      <t>Abono pecuniário</t>
    </r>
    <r>
      <rPr>
        <sz val="13"/>
        <color theme="1"/>
        <rFont val="Calibri"/>
        <family val="2"/>
      </rPr>
      <t>: O colaborador poderá solicitar a conversão de até um terço (10 dias) do período de férias em abono pecuniário desde que a solicitação seja formalizada por escrito e entregue ao Departamento</t>
    </r>
  </si>
  <si>
    <t>O gestor responsável deverá encaminhar a planilha devidamente preenchida ao Departamento Pessoal até o dia 30/01/2026.</t>
  </si>
  <si>
    <r>
      <rPr>
        <b/>
        <sz val="13"/>
        <color theme="1"/>
        <rFont val="Calibri"/>
        <family val="2"/>
      </rPr>
      <t>Agendamentos</t>
    </r>
    <r>
      <rPr>
        <sz val="13"/>
        <color theme="1"/>
        <rFont val="Calibri"/>
        <family val="2"/>
      </rPr>
      <t>: Devem ser realizados os agendamentos de férias para o período de Fevereiro/2026 a Janeiro/2027 (</t>
    </r>
    <r>
      <rPr>
        <sz val="13"/>
        <color rgb="FFFF0000"/>
        <rFont val="Calibri"/>
        <family val="2"/>
      </rPr>
      <t>para as</t>
    </r>
    <r>
      <rPr>
        <sz val="13"/>
        <color theme="1"/>
        <rFont val="Calibri"/>
        <family val="2"/>
      </rPr>
      <t xml:space="preserve"> </t>
    </r>
    <r>
      <rPr>
        <sz val="13"/>
        <color rgb="FFFF0000"/>
        <rFont val="Calibri"/>
        <family val="2"/>
      </rPr>
      <t>férias de fevereiro/2026 deverão ter início a partir do dia 12/02/2026</t>
    </r>
    <r>
      <rPr>
        <sz val="13"/>
        <color theme="1"/>
        <rFont val="Calibri"/>
        <family val="2"/>
      </rPr>
      <t>).</t>
    </r>
  </si>
  <si>
    <t>Adeilson de Oliveira</t>
  </si>
  <si>
    <t>Anderson Lucas Duarte Freitas</t>
  </si>
  <si>
    <t>Antonio Carlos Caetano</t>
  </si>
  <si>
    <t>Antônio Weslley Santos Batista</t>
  </si>
  <si>
    <t>Bruno Caik da Silva Thome</t>
  </si>
  <si>
    <t>Clenison de Sousa Soares</t>
  </si>
  <si>
    <t xml:space="preserve">Daniel Mateus Oliveira </t>
  </si>
  <si>
    <t>Dhone Francisco da Silva</t>
  </si>
  <si>
    <t>Edilson Ribeiro de Lima Junior</t>
  </si>
  <si>
    <t>Filipe Honorato de Souza</t>
  </si>
  <si>
    <t xml:space="preserve">Gabriel Sousa Vieira </t>
  </si>
  <si>
    <t xml:space="preserve">Geoglenn Jose Lanz Parra </t>
  </si>
  <si>
    <t>Igor Matthews Barros Marques</t>
  </si>
  <si>
    <t>Jaime da Silva Coelho</t>
  </si>
  <si>
    <t>Jorge William Braga Menezes</t>
  </si>
  <si>
    <t>José Augusto Barbosa Neto</t>
  </si>
  <si>
    <t>Kaio Gabriel Carrera de Oliveira</t>
  </si>
  <si>
    <t>Leonardo Winícios Simões dos Santos</t>
  </si>
  <si>
    <t>Lucas Gleub Ribeiro</t>
  </si>
  <si>
    <t>Marinilson Mota de Lira</t>
  </si>
  <si>
    <t>Phillip Antonic Persaud</t>
  </si>
  <si>
    <t>Rayan Dos Santos Mendes</t>
  </si>
  <si>
    <t>Rocio Del Pino Diaz</t>
  </si>
  <si>
    <t xml:space="preserve">Nome do Funcionário </t>
  </si>
  <si>
    <t>Sim</t>
  </si>
  <si>
    <t>Planilha de Solicitação de Férias - Serviços</t>
  </si>
  <si>
    <t>Nome_Completo</t>
  </si>
  <si>
    <t>Tipo</t>
  </si>
  <si>
    <t>Cargo</t>
  </si>
  <si>
    <t>Data_Admissao</t>
  </si>
  <si>
    <t>Salario_Base</t>
  </si>
  <si>
    <t>Status_Ativo</t>
  </si>
  <si>
    <t>Foto</t>
  </si>
  <si>
    <t>Email</t>
  </si>
  <si>
    <t>Telefone</t>
  </si>
  <si>
    <t>Observacoes</t>
  </si>
  <si>
    <t>ADEILSON DE OLIVEIRA</t>
  </si>
  <si>
    <t>Técnico</t>
  </si>
  <si>
    <t>Consultor Técnico</t>
  </si>
  <si>
    <t>https://drive.google.com/uc?id=1yKRsbs77nFb7iS15QO1lzykxrzqImjWo</t>
  </si>
  <si>
    <t>adeilson.deoliveira@greenmaquinas.com.br</t>
  </si>
  <si>
    <t>95 98117-0016</t>
  </si>
  <si>
    <t>ANTONIO WESLLEY SANTOS</t>
  </si>
  <si>
    <t>https://drive.google.com/uc?id=1bezv13PvawUAZtl7qOucHAXQatV8EyU0</t>
  </si>
  <si>
    <t>antonio.weslley@greenmaquinas.com.br</t>
  </si>
  <si>
    <t>95 98102-0047</t>
  </si>
  <si>
    <t>CLENISON DE SOUZA SOARES</t>
  </si>
  <si>
    <t>https://drive.google.com/uc?id=1AMWuMP-pcB-GoLzQHeOI-rUgQQu2rH9z</t>
  </si>
  <si>
    <t>clenison.desousa@greenmaquinas.com.br</t>
  </si>
  <si>
    <t>95 99156-4103</t>
  </si>
  <si>
    <t>DANIEL MATEUS OLIVEIRA</t>
  </si>
  <si>
    <t>https://drive.google.com/uc?id=1Uh9SS3_tqR-_0OvL_h0FQpoZA7b1xSUW</t>
  </si>
  <si>
    <t>daniel.oliveira@greenmaquinas.com.br</t>
  </si>
  <si>
    <t>95 99135-7492</t>
  </si>
  <si>
    <t>EDILSON RIBEIRO DE LIMA</t>
  </si>
  <si>
    <t>https://drive.google.com/uc?id=19-9SVmdR7jqBEqMazf4M3Ib-9jswLtBM</t>
  </si>
  <si>
    <t>edilson.ribeiro@greenmaquinas.com.br</t>
  </si>
  <si>
    <t>95 98102-0021</t>
  </si>
  <si>
    <t>GEOGLENN JOSE LANZ PARRA</t>
  </si>
  <si>
    <t>https://drive.google.com/uc?id=1lUWB28VV80HwyetXJdVX9iEw7gwWzFli</t>
  </si>
  <si>
    <t>geoglen.parra@greenmaquinas.com.br</t>
  </si>
  <si>
    <t>95 98105-0360</t>
  </si>
  <si>
    <t>IGOR MATTHEWS BARROS MARQUES</t>
  </si>
  <si>
    <t>https://drive.google.com/uc?id=1w5UW2q4MB7AbPnrP9wGG2ixfzHDEFPK_</t>
  </si>
  <si>
    <t>igor.barros@greenmaquinas.com.br</t>
  </si>
  <si>
    <t>95 98116-0070</t>
  </si>
  <si>
    <t>LUCAS GLEUB RIBEIRO</t>
  </si>
  <si>
    <t>https://drive.google.com/uc?id=1NOdX_UH6WJHTH2AIAs04OW45ZV5PQFLC</t>
  </si>
  <si>
    <t>lucas.ribeiro@greenmaquinas.com.br</t>
  </si>
  <si>
    <t>95 99148-4260</t>
  </si>
  <si>
    <t>PHILLIP ANTONIC PERSAUD</t>
  </si>
  <si>
    <t>https://drive.google.com/uc?id=1LrNm_kk8kaJVDQ2fTkV6DQrEU9FCqoOV</t>
  </si>
  <si>
    <t>phillip.persaud@greenmaquinas.com.br</t>
  </si>
  <si>
    <t>95 98118-0020</t>
  </si>
  <si>
    <t>ANDERSON LUCAS DUARTE FREITAS</t>
  </si>
  <si>
    <t>Auxiliar</t>
  </si>
  <si>
    <t>Auxiliar Técnico</t>
  </si>
  <si>
    <t>https://drive.google.com/uc?id=1O8GAQfV_SpHw_qsYAPXIctf6jp-Loa6s</t>
  </si>
  <si>
    <t>95 99177-5931</t>
  </si>
  <si>
    <t>https://drive.google.com/uc?id=1jcqoq4zC1UN7N1Vn6Y33GStLEcEllSVu</t>
  </si>
  <si>
    <t>95 99123-5350</t>
  </si>
  <si>
    <t>GABRIEL SOUSA VIEIRA</t>
  </si>
  <si>
    <t>https://drive.google.com/uc?id=1VL-zHlY6is80i_Ge3qtDRuMVirIREt9b</t>
  </si>
  <si>
    <t>95 99134-7940</t>
  </si>
  <si>
    <t>JAIME DA SILVA COELHO</t>
  </si>
  <si>
    <t>https://drive.google.com/uc?id=1GumeOH8VDfzcE5XUz4ogHmTcmLR198Jz</t>
  </si>
  <si>
    <t>95 99117-1895</t>
  </si>
  <si>
    <t>JOSE AUGUSTO BARBOSA NETO</t>
  </si>
  <si>
    <t>1309/2025</t>
  </si>
  <si>
    <t>https://drive.google.com/uc?id=1y6no1vDH9_0TZci4_2bT9msu8_D0E394</t>
  </si>
  <si>
    <t>92 99444-3161</t>
  </si>
  <si>
    <t>KAIO GABRIEL CARRERA DE OLIVEIRA</t>
  </si>
  <si>
    <t>https://drive.google.com/uc?id=1UEqU4WL2NmOU0Mg-nmV-Es3V5Exhzq4m</t>
  </si>
  <si>
    <t>95 99126-3073</t>
  </si>
  <si>
    <t>BRUNO CAIK DA SILVA THOMÉ</t>
  </si>
  <si>
    <t>https://drive.google.com/uc?id=1O_RcW46_U21mRW9B0_mCWS82c1X3s8tp</t>
  </si>
  <si>
    <t>46 99106-8471</t>
  </si>
  <si>
    <t>ANTONIO CARLOS CAETANO</t>
  </si>
  <si>
    <t>Gerente</t>
  </si>
  <si>
    <t>Gerente de Serviço</t>
  </si>
  <si>
    <t>gerservicos.boavista@greenmaquinas.com.br</t>
  </si>
  <si>
    <t>95 98102-0022</t>
  </si>
  <si>
    <t>ROCIO DEL PINO DIAZ</t>
  </si>
  <si>
    <t>Analista</t>
  </si>
  <si>
    <t>Analista Administrativo</t>
  </si>
  <si>
    <t>servicos.boavista@greenmaquinas.com.br</t>
  </si>
  <si>
    <t>95 98125-1111</t>
  </si>
  <si>
    <t>RAYAN DOS SANTOS MENDES</t>
  </si>
  <si>
    <t>Consultor</t>
  </si>
  <si>
    <t>Consultor Administrativo</t>
  </si>
  <si>
    <t>servicos5.boavista@greenmaquinas.com.br</t>
  </si>
  <si>
    <t>95 99113-5551</t>
  </si>
  <si>
    <t>LEONARDO WINICIOS SIMOES DOS SANTOS</t>
  </si>
  <si>
    <t>Assistente</t>
  </si>
  <si>
    <t>Assistente Administrativo</t>
  </si>
  <si>
    <t>servicos3.boavista@greenmaquinas.com.br</t>
  </si>
  <si>
    <t>95 99162-8353</t>
  </si>
  <si>
    <t>MARINILSON MOTA DE LIRA</t>
  </si>
  <si>
    <t>Supervisor</t>
  </si>
  <si>
    <t>Supervisor Técnico</t>
  </si>
  <si>
    <t>marinilson.lira@greenmaquinas.com.br</t>
  </si>
  <si>
    <t>95 98105-1222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</si>
</sst>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9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8"/>
      <name val="Aptos Narrow"/>
      <family val="2"/>
      <scheme val="minor"/>
    </font>
    <font>
      <b/>
      <sz val="28"/>
      <color theme="0"/>
      <name val="Calibri"/>
      <family val="2"/>
    </font>
    <font>
      <b/>
      <sz val="20"/>
      <color theme="0"/>
      <name val="Calibri"/>
      <family val="2"/>
    </font>
    <font>
      <b/>
      <sz val="14"/>
      <color theme="1"/>
      <name val="Calibri"/>
      <family val="2"/>
      <charset val="1"/>
    </font>
    <font>
      <b/>
      <sz val="18"/>
      <color rgb="FF00C89B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8"/>
      <color rgb="FF00C89B"/>
      <name val="Calibri"/>
      <family val="2"/>
    </font>
    <font>
      <sz val="14"/>
      <color theme="1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</font>
    <font>
      <b/>
      <sz val="15"/>
      <color theme="0"/>
      <name val="Calibri"/>
      <family val="2"/>
    </font>
    <font>
      <b/>
      <sz val="13"/>
      <color rgb="FFFF0000"/>
      <name val="Calibri"/>
      <family val="2"/>
    </font>
    <font>
      <sz val="13"/>
      <color rgb="FFFF0000"/>
      <name val="Calibri"/>
      <family val="2"/>
    </font>
    <font>
      <b/>
      <sz val="10"/>
      <color theme="1"/>
      <name val="Aptos Narrow"/>
      <scheme val="minor"/>
    </font>
    <font>
      <sz val="10"/>
      <color theme="1"/>
      <name val="Aptos Narrow"/>
      <scheme val="minor"/>
    </font>
    <font>
      <u/>
      <sz val="10"/>
      <color rgb="FF0000FF"/>
      <name val="Arial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C89B"/>
        <bgColor rgb="FF00CCFF"/>
      </patternFill>
    </fill>
    <fill>
      <patternFill patternType="solid">
        <fgColor rgb="FFFFFFFF"/>
        <bgColor rgb="FFF2F2F2"/>
      </patternFill>
    </fill>
    <fill>
      <patternFill patternType="solid">
        <fgColor rgb="FF00958B"/>
        <bgColor rgb="FF008080"/>
      </patternFill>
    </fill>
    <fill>
      <patternFill patternType="solid">
        <fgColor rgb="FFF2F2F2"/>
        <bgColor rgb="FFFFFFFF"/>
      </patternFill>
    </fill>
    <fill>
      <patternFill patternType="solid">
        <fgColor rgb="FF00958B"/>
        <bgColor indexed="64"/>
      </patternFill>
    </fill>
    <fill>
      <patternFill patternType="solid">
        <fgColor rgb="FF00C89B"/>
        <bgColor indexed="64"/>
      </patternFill>
    </fill>
    <fill>
      <patternFill patternType="solid">
        <fgColor theme="0" tint="-4.9989318521683403E-2"/>
        <bgColor rgb="FF008080"/>
      </patternFill>
    </fill>
    <fill>
      <patternFill patternType="solid">
        <fgColor theme="6" tint="0.59999389629810485"/>
        <bgColor rgb="FF00CC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34">
    <border>
      <left/>
      <right/>
      <top/>
      <bottom/>
      <diagonal/>
    </border>
    <border>
      <left style="thick">
        <color rgb="FFFFFFFF"/>
      </left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/>
      <diagonal/>
    </border>
    <border>
      <left style="thick">
        <color rgb="FFFFFFFF"/>
      </left>
      <right/>
      <top style="thick">
        <color rgb="FFFFFFFF"/>
      </top>
      <bottom style="thick">
        <color rgb="FFFFFFFF"/>
      </bottom>
      <diagonal/>
    </border>
    <border>
      <left style="thick">
        <color theme="0"/>
      </left>
      <right/>
      <top style="thick">
        <color theme="0"/>
      </top>
      <bottom style="thick">
        <color rgb="FFFFFFFF"/>
      </bottom>
      <diagonal/>
    </border>
    <border>
      <left/>
      <right style="thick">
        <color theme="0"/>
      </right>
      <top/>
      <bottom style="thick">
        <color rgb="FFFFFFFF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 style="thick">
        <color rgb="FFFFFFFF"/>
      </top>
      <bottom style="thick">
        <color theme="0"/>
      </bottom>
      <diagonal/>
    </border>
    <border>
      <left/>
      <right/>
      <top/>
      <bottom style="thick">
        <color rgb="FFFFFFFF"/>
      </bottom>
      <diagonal/>
    </border>
    <border>
      <left/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rgb="FFFFFFFF"/>
      </bottom>
      <diagonal/>
    </border>
    <border>
      <left style="thick">
        <color theme="0"/>
      </left>
      <right style="thick">
        <color theme="0"/>
      </right>
      <top style="thick">
        <color rgb="FFFFFFFF"/>
      </top>
      <bottom/>
      <diagonal/>
    </border>
    <border>
      <left/>
      <right/>
      <top style="thick">
        <color rgb="FFFFFFFF"/>
      </top>
      <bottom style="thick">
        <color rgb="FFFFFFFF"/>
      </bottom>
      <diagonal/>
    </border>
    <border>
      <left style="thick">
        <color rgb="FFFFFFFF"/>
      </left>
      <right style="thick">
        <color rgb="FFFFFFFF"/>
      </right>
      <top/>
      <bottom style="thick">
        <color theme="0"/>
      </bottom>
      <diagonal/>
    </border>
    <border>
      <left style="thick">
        <color rgb="FFFFFFFF"/>
      </left>
      <right style="thick">
        <color theme="0"/>
      </right>
      <top/>
      <bottom style="thick">
        <color theme="0"/>
      </bottom>
      <diagonal/>
    </border>
    <border>
      <left style="thick">
        <color rgb="FFFFFFFF"/>
      </left>
      <right/>
      <top/>
      <bottom style="thick">
        <color theme="0"/>
      </bottom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/>
      <right/>
      <top style="thick">
        <color theme="0"/>
      </top>
      <bottom style="thick">
        <color rgb="FFFFFFFF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rgb="FFFFFFFF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rgb="FFFFFFFF"/>
      </left>
      <right style="thick">
        <color rgb="FFFFFFFF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rgb="FFFFFFFF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5" borderId="5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0" fontId="0" fillId="7" borderId="8" xfId="0" applyFill="1" applyBorder="1"/>
    <xf numFmtId="0" fontId="1" fillId="5" borderId="10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14" fontId="2" fillId="6" borderId="2" xfId="0" applyNumberFormat="1" applyFont="1" applyFill="1" applyBorder="1" applyAlignment="1">
      <alignment horizontal="center" vertical="center"/>
    </xf>
    <xf numFmtId="14" fontId="2" fillId="6" borderId="5" xfId="0" applyNumberFormat="1" applyFont="1" applyFill="1" applyBorder="1" applyAlignment="1">
      <alignment horizontal="center" vertical="center"/>
    </xf>
    <xf numFmtId="14" fontId="1" fillId="5" borderId="11" xfId="0" applyNumberFormat="1" applyFont="1" applyFill="1" applyBorder="1" applyAlignment="1">
      <alignment horizontal="center" vertical="center"/>
    </xf>
    <xf numFmtId="14" fontId="2" fillId="6" borderId="6" xfId="0" applyNumberFormat="1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4" fontId="2" fillId="6" borderId="16" xfId="0" applyNumberFormat="1" applyFont="1" applyFill="1" applyBorder="1" applyAlignment="1">
      <alignment horizontal="center" vertical="center"/>
    </xf>
    <xf numFmtId="14" fontId="2" fillId="6" borderId="1" xfId="0" applyNumberFormat="1" applyFont="1" applyFill="1" applyBorder="1" applyAlignment="1">
      <alignment horizontal="center" vertical="center"/>
    </xf>
    <xf numFmtId="14" fontId="1" fillId="5" borderId="9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14" fontId="1" fillId="5" borderId="17" xfId="0" applyNumberFormat="1" applyFont="1" applyFill="1" applyBorder="1" applyAlignment="1">
      <alignment horizontal="center" vertical="center"/>
    </xf>
    <xf numFmtId="0" fontId="0" fillId="2" borderId="19" xfId="0" applyFill="1" applyBorder="1"/>
    <xf numFmtId="0" fontId="1" fillId="5" borderId="4" xfId="0" applyFont="1" applyFill="1" applyBorder="1" applyAlignment="1">
      <alignment horizontal="center" vertical="center"/>
    </xf>
    <xf numFmtId="14" fontId="2" fillId="6" borderId="22" xfId="0" applyNumberFormat="1" applyFont="1" applyFill="1" applyBorder="1" applyAlignment="1">
      <alignment horizontal="center" vertical="center"/>
    </xf>
    <xf numFmtId="0" fontId="6" fillId="9" borderId="9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/>
    </xf>
    <xf numFmtId="0" fontId="0" fillId="7" borderId="28" xfId="0" applyFill="1" applyBorder="1"/>
    <xf numFmtId="0" fontId="5" fillId="7" borderId="27" xfId="0" applyFont="1" applyFill="1" applyBorder="1" applyAlignment="1">
      <alignment horizontal="left" vertical="center"/>
    </xf>
    <xf numFmtId="0" fontId="10" fillId="2" borderId="0" xfId="0" applyFont="1" applyFill="1"/>
    <xf numFmtId="0" fontId="11" fillId="2" borderId="0" xfId="0" applyFont="1" applyFill="1"/>
    <xf numFmtId="0" fontId="11" fillId="2" borderId="0" xfId="0" applyFont="1" applyFill="1" applyAlignment="1">
      <alignment horizontal="left"/>
    </xf>
    <xf numFmtId="0" fontId="11" fillId="2" borderId="0" xfId="0" applyFont="1" applyFill="1" applyAlignment="1">
      <alignment horizontal="left" vertical="center"/>
    </xf>
    <xf numFmtId="0" fontId="1" fillId="3" borderId="28" xfId="0" applyFont="1" applyFill="1" applyBorder="1" applyAlignment="1">
      <alignment horizontal="center" vertical="center"/>
    </xf>
    <xf numFmtId="0" fontId="1" fillId="10" borderId="12" xfId="0" applyFont="1" applyFill="1" applyBorder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0" fontId="1" fillId="10" borderId="25" xfId="0" applyFont="1" applyFill="1" applyBorder="1" applyAlignment="1">
      <alignment horizontal="center" vertical="center"/>
    </xf>
    <xf numFmtId="0" fontId="1" fillId="10" borderId="20" xfId="0" applyFont="1" applyFill="1" applyBorder="1" applyAlignment="1">
      <alignment horizontal="center" vertical="center"/>
    </xf>
    <xf numFmtId="14" fontId="2" fillId="11" borderId="9" xfId="0" applyNumberFormat="1" applyFont="1" applyFill="1" applyBorder="1" applyAlignment="1">
      <alignment horizontal="center"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26" xfId="0" applyFont="1" applyFill="1" applyBorder="1" applyAlignment="1">
      <alignment horizontal="center" vertical="center"/>
    </xf>
    <xf numFmtId="0" fontId="13" fillId="12" borderId="0" xfId="0" applyFont="1" applyFill="1" applyAlignment="1">
      <alignment horizontal="left" vertical="center"/>
    </xf>
    <xf numFmtId="0" fontId="13" fillId="8" borderId="0" xfId="0" applyFont="1" applyFill="1" applyAlignment="1">
      <alignment horizontal="left" vertical="center"/>
    </xf>
    <xf numFmtId="0" fontId="1" fillId="10" borderId="9" xfId="0" applyFont="1" applyFill="1" applyBorder="1" applyAlignment="1">
      <alignment horizontal="center" vertical="center"/>
    </xf>
    <xf numFmtId="0" fontId="10" fillId="9" borderId="9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0" fontId="1" fillId="5" borderId="32" xfId="0" applyFont="1" applyFill="1" applyBorder="1" applyAlignment="1">
      <alignment horizontal="left" vertical="center"/>
    </xf>
    <xf numFmtId="14" fontId="2" fillId="6" borderId="18" xfId="0" applyNumberFormat="1" applyFont="1" applyFill="1" applyBorder="1" applyAlignment="1">
      <alignment horizontal="center" vertical="center"/>
    </xf>
    <xf numFmtId="14" fontId="2" fillId="6" borderId="31" xfId="0" applyNumberFormat="1" applyFont="1" applyFill="1" applyBorder="1" applyAlignment="1">
      <alignment horizontal="center" vertical="center"/>
    </xf>
    <xf numFmtId="14" fontId="2" fillId="6" borderId="33" xfId="0" applyNumberFormat="1" applyFont="1" applyFill="1" applyBorder="1" applyAlignment="1">
      <alignment horizontal="center" vertical="center"/>
    </xf>
    <xf numFmtId="0" fontId="0" fillId="2" borderId="0" xfId="0" applyFill="1" applyProtection="1">
      <protection locked="0"/>
    </xf>
    <xf numFmtId="0" fontId="10" fillId="9" borderId="9" xfId="0" applyFont="1" applyFill="1" applyBorder="1" applyAlignment="1" applyProtection="1">
      <alignment horizontal="center" vertical="center"/>
      <protection locked="0"/>
    </xf>
    <xf numFmtId="14" fontId="2" fillId="6" borderId="15" xfId="0" applyNumberFormat="1" applyFont="1" applyFill="1" applyBorder="1" applyAlignment="1" applyProtection="1">
      <alignment horizontal="center" vertical="center"/>
      <protection locked="0"/>
    </xf>
    <xf numFmtId="14" fontId="2" fillId="6" borderId="22" xfId="0" applyNumberFormat="1" applyFont="1" applyFill="1" applyBorder="1" applyAlignment="1" applyProtection="1">
      <alignment horizontal="center" vertical="center"/>
      <protection locked="0"/>
    </xf>
    <xf numFmtId="0" fontId="6" fillId="9" borderId="17" xfId="0" applyFont="1" applyFill="1" applyBorder="1" applyAlignment="1" applyProtection="1">
      <alignment horizontal="center" vertical="center"/>
      <protection locked="0"/>
    </xf>
    <xf numFmtId="0" fontId="6" fillId="9" borderId="9" xfId="0" applyFont="1" applyFill="1" applyBorder="1" applyAlignment="1" applyProtection="1">
      <alignment horizontal="center" vertical="center"/>
      <protection locked="0"/>
    </xf>
    <xf numFmtId="0" fontId="0" fillId="4" borderId="14" xfId="0" applyFill="1" applyBorder="1" applyAlignment="1" applyProtection="1">
      <alignment horizontal="left" vertical="center"/>
      <protection locked="0"/>
    </xf>
    <xf numFmtId="0" fontId="0" fillId="4" borderId="6" xfId="0" applyFill="1" applyBorder="1" applyAlignment="1" applyProtection="1">
      <alignment horizontal="left" vertical="center"/>
      <protection locked="0"/>
    </xf>
    <xf numFmtId="0" fontId="10" fillId="9" borderId="30" xfId="0" applyFont="1" applyFill="1" applyBorder="1" applyAlignment="1" applyProtection="1">
      <alignment horizontal="center" vertical="center"/>
      <protection locked="0"/>
    </xf>
    <xf numFmtId="0" fontId="0" fillId="4" borderId="2" xfId="0" applyFill="1" applyBorder="1" applyAlignment="1" applyProtection="1">
      <alignment horizontal="left" vertical="center"/>
      <protection locked="0"/>
    </xf>
    <xf numFmtId="0" fontId="0" fillId="4" borderId="3" xfId="0" applyFill="1" applyBorder="1" applyAlignment="1" applyProtection="1">
      <alignment horizontal="left" vertical="center"/>
      <protection locked="0"/>
    </xf>
    <xf numFmtId="0" fontId="0" fillId="4" borderId="5" xfId="0" applyFill="1" applyBorder="1" applyAlignment="1" applyProtection="1">
      <alignment horizontal="left" vertical="center"/>
      <protection locked="0"/>
    </xf>
    <xf numFmtId="0" fontId="0" fillId="4" borderId="0" xfId="0" applyFill="1" applyAlignment="1" applyProtection="1">
      <alignment horizontal="left" vertical="center"/>
      <protection locked="0"/>
    </xf>
    <xf numFmtId="14" fontId="2" fillId="6" borderId="16" xfId="0" applyNumberFormat="1" applyFont="1" applyFill="1" applyBorder="1" applyAlignment="1" applyProtection="1">
      <alignment horizontal="center" vertical="center"/>
      <protection locked="0"/>
    </xf>
    <xf numFmtId="14" fontId="2" fillId="6" borderId="9" xfId="0" applyNumberFormat="1" applyFont="1" applyFill="1" applyBorder="1" applyAlignment="1" applyProtection="1">
      <alignment horizontal="center" vertical="center"/>
      <protection locked="0"/>
    </xf>
    <xf numFmtId="14" fontId="2" fillId="6" borderId="21" xfId="0" applyNumberFormat="1" applyFont="1" applyFill="1" applyBorder="1" applyAlignment="1" applyProtection="1">
      <alignment horizontal="center" vertical="center"/>
      <protection locked="0"/>
    </xf>
    <xf numFmtId="0" fontId="6" fillId="9" borderId="18" xfId="0" applyFont="1" applyFill="1" applyBorder="1" applyAlignment="1" applyProtection="1">
      <alignment horizontal="center" vertical="center"/>
      <protection locked="0"/>
    </xf>
    <xf numFmtId="0" fontId="0" fillId="13" borderId="0" xfId="0" applyFill="1" applyProtection="1">
      <protection locked="0"/>
    </xf>
    <xf numFmtId="0" fontId="0" fillId="4" borderId="4" xfId="0" applyFill="1" applyBorder="1" applyAlignment="1" applyProtection="1">
      <alignment horizontal="left" vertical="center"/>
      <protection locked="0"/>
    </xf>
    <xf numFmtId="14" fontId="1" fillId="5" borderId="11" xfId="0" applyNumberFormat="1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0" fillId="4" borderId="23" xfId="0" applyFill="1" applyBorder="1" applyAlignment="1" applyProtection="1">
      <alignment horizontal="left" vertical="center"/>
      <protection locked="0"/>
    </xf>
    <xf numFmtId="0" fontId="0" fillId="4" borderId="7" xfId="0" applyFill="1" applyBorder="1" applyAlignment="1" applyProtection="1">
      <alignment horizontal="left" vertical="center"/>
      <protection locked="0"/>
    </xf>
    <xf numFmtId="0" fontId="6" fillId="9" borderId="13" xfId="0" applyFont="1" applyFill="1" applyBorder="1" applyAlignment="1" applyProtection="1">
      <alignment horizontal="center" vertical="center"/>
      <protection locked="0"/>
    </xf>
    <xf numFmtId="0" fontId="6" fillId="9" borderId="4" xfId="0" applyFont="1" applyFill="1" applyBorder="1" applyAlignment="1" applyProtection="1">
      <alignment horizontal="center" vertical="center"/>
      <protection locked="0"/>
    </xf>
    <xf numFmtId="0" fontId="1" fillId="4" borderId="0" xfId="0" applyFont="1" applyFill="1" applyAlignment="1" applyProtection="1">
      <alignment horizontal="center" vertical="center"/>
      <protection locked="0"/>
    </xf>
    <xf numFmtId="0" fontId="1" fillId="10" borderId="24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left" vertical="center"/>
    </xf>
    <xf numFmtId="0" fontId="4" fillId="7" borderId="19" xfId="0" applyFont="1" applyFill="1" applyBorder="1" applyAlignment="1">
      <alignment horizontal="left" vertical="center"/>
    </xf>
    <xf numFmtId="0" fontId="4" fillId="7" borderId="2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11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top"/>
    </xf>
    <xf numFmtId="0" fontId="9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top" wrapText="1"/>
    </xf>
    <xf numFmtId="0" fontId="9" fillId="2" borderId="0" xfId="0" applyFont="1" applyFill="1" applyAlignment="1">
      <alignment horizontal="left" vertical="top"/>
    </xf>
    <xf numFmtId="0" fontId="12" fillId="2" borderId="0" xfId="0" applyFont="1" applyFill="1" applyAlignment="1">
      <alignment horizontal="left" vertical="center"/>
    </xf>
    <xf numFmtId="0" fontId="16" fillId="0" borderId="0" xfId="0" applyFont="1"/>
    <xf numFmtId="0" fontId="17" fillId="0" borderId="0" xfId="0" applyFont="1"/>
    <xf numFmtId="14" fontId="17" fillId="0" borderId="0" xfId="0" applyNumberFormat="1" applyFont="1"/>
    <xf numFmtId="4" fontId="17" fillId="0" borderId="0" xfId="0" applyNumberFormat="1" applyFont="1"/>
    <xf numFmtId="0" fontId="18" fillId="0" borderId="0" xfId="0" applyFont="1"/>
    <xf numFmtId="164" fontId="17" fillId="0" borderId="0" xfId="0" applyNumberFormat="1" applyFont="1"/>
    <xf numFmtId="0" fontId="17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C89B"/>
      <color rgb="FFB8E7A7"/>
      <color rgb="FFCAEDBD"/>
      <color rgb="FF0095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545522</xdr:colOff>
      <xdr:row>0</xdr:row>
      <xdr:rowOff>47722</xdr:rowOff>
    </xdr:from>
    <xdr:ext cx="1524001" cy="1227097"/>
    <xdr:pic>
      <xdr:nvPicPr>
        <xdr:cNvPr id="2" name="Imagem 1">
          <a:extLst>
            <a:ext uri="{FF2B5EF4-FFF2-40B4-BE49-F238E27FC236}">
              <a16:creationId xmlns:a16="http://schemas.microsoft.com/office/drawing/2014/main" id="{2EB7D9FD-4883-4558-A000-416EA2C89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522" y="47722"/>
          <a:ext cx="1524001" cy="12270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762000</xdr:colOff>
      <xdr:row>0</xdr:row>
      <xdr:rowOff>68580</xdr:rowOff>
    </xdr:from>
    <xdr:to>
      <xdr:col>0</xdr:col>
      <xdr:colOff>2612994</xdr:colOff>
      <xdr:row>0</xdr:row>
      <xdr:rowOff>1276350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830891-FACB-8FF8-687D-F18D68829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68580"/>
          <a:ext cx="1858614" cy="120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uc?id=1NOdX_UH6WJHTH2AIAs04OW45ZV5PQFLC" TargetMode="External"/><Relationship Id="rId13" Type="http://schemas.openxmlformats.org/officeDocument/2006/relationships/hyperlink" Target="https://drive.google.com/uc?id=1GumeOH8VDfzcE5XUz4ogHmTcmLR198Jz" TargetMode="External"/><Relationship Id="rId3" Type="http://schemas.openxmlformats.org/officeDocument/2006/relationships/hyperlink" Target="https://drive.google.com/uc?id=1AMWuMP-pcB-GoLzQHeOI-rUgQQu2rH9z" TargetMode="External"/><Relationship Id="rId7" Type="http://schemas.openxmlformats.org/officeDocument/2006/relationships/hyperlink" Target="https://drive.google.com/uc?id=1w5UW2q4MB7AbPnrP9wGG2ixfzHDEFPK_" TargetMode="External"/><Relationship Id="rId12" Type="http://schemas.openxmlformats.org/officeDocument/2006/relationships/hyperlink" Target="https://drive.google.com/uc?id=1VL-zHlY6is80i_Ge3qtDRuMVirIREt9b" TargetMode="External"/><Relationship Id="rId2" Type="http://schemas.openxmlformats.org/officeDocument/2006/relationships/hyperlink" Target="https://drive.google.com/uc?id=1bezv13PvawUAZtl7qOucHAXQatV8EyU0" TargetMode="External"/><Relationship Id="rId16" Type="http://schemas.openxmlformats.org/officeDocument/2006/relationships/hyperlink" Target="https://drive.google.com/uc?id=1O_RcW46_U21mRW9B0_mCWS82c1X3s8tp" TargetMode="External"/><Relationship Id="rId1" Type="http://schemas.openxmlformats.org/officeDocument/2006/relationships/hyperlink" Target="https://drive.google.com/uc?id=1yKRsbs77nFb7iS15QO1lzykxrzqImjWo" TargetMode="External"/><Relationship Id="rId6" Type="http://schemas.openxmlformats.org/officeDocument/2006/relationships/hyperlink" Target="https://drive.google.com/uc?id=1lUWB28VV80HwyetXJdVX9iEw7gwWzFli" TargetMode="External"/><Relationship Id="rId11" Type="http://schemas.openxmlformats.org/officeDocument/2006/relationships/hyperlink" Target="https://drive.google.com/uc?id=1jcqoq4zC1UN7N1Vn6Y33GStLEcEllSVu" TargetMode="External"/><Relationship Id="rId5" Type="http://schemas.openxmlformats.org/officeDocument/2006/relationships/hyperlink" Target="https://drive.google.com/uc?id=19-9SVmdR7jqBEqMazf4M3Ib-9jswLtBM" TargetMode="External"/><Relationship Id="rId15" Type="http://schemas.openxmlformats.org/officeDocument/2006/relationships/hyperlink" Target="https://drive.google.com/uc?id=1UEqU4WL2NmOU0Mg-nmV-Es3V5Exhzq4m" TargetMode="External"/><Relationship Id="rId10" Type="http://schemas.openxmlformats.org/officeDocument/2006/relationships/hyperlink" Target="https://drive.google.com/uc?id=1O8GAQfV_SpHw_qsYAPXIctf6jp-Loa6s" TargetMode="External"/><Relationship Id="rId4" Type="http://schemas.openxmlformats.org/officeDocument/2006/relationships/hyperlink" Target="https://drive.google.com/uc?id=1Uh9SS3_tqR-_0OvL_h0FQpoZA7b1xSUW" TargetMode="External"/><Relationship Id="rId9" Type="http://schemas.openxmlformats.org/officeDocument/2006/relationships/hyperlink" Target="https://drive.google.com/uc?id=1LrNm_kk8kaJVDQ2fTkV6DQrEU9FCqoOV" TargetMode="External"/><Relationship Id="rId14" Type="http://schemas.openxmlformats.org/officeDocument/2006/relationships/hyperlink" Target="https://drive.google.com/uc?id=1y6no1vDH9_0TZci4_2bT9msu8_D0E39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93CBC-052B-41FC-9C4F-5FF4C75E4641}">
  <dimension ref="A1:C53"/>
  <sheetViews>
    <sheetView zoomScaleNormal="100" workbookViewId="0">
      <selection activeCell="A65" sqref="A65"/>
    </sheetView>
  </sheetViews>
  <sheetFormatPr defaultRowHeight="14.4" x14ac:dyDescent="0.3"/>
  <cols>
    <col min="1" max="1" width="36.77734375" style="1" customWidth="1"/>
    <col min="2" max="2" width="179.6640625" style="1" customWidth="1"/>
    <col min="3" max="16384" width="8.88671875" style="1"/>
  </cols>
  <sheetData>
    <row r="1" spans="1:3" ht="106.2" customHeight="1" thickBot="1" x14ac:dyDescent="0.35">
      <c r="A1" s="26"/>
      <c r="B1" s="27" t="s">
        <v>9</v>
      </c>
      <c r="C1" s="18"/>
    </row>
    <row r="2" spans="1:3" ht="24" thickTop="1" x14ac:dyDescent="0.3">
      <c r="A2" s="86" t="s">
        <v>11</v>
      </c>
      <c r="B2" s="86"/>
    </row>
    <row r="3" spans="1:3" ht="31.2" customHeight="1" x14ac:dyDescent="0.3">
      <c r="A3" s="88" t="s">
        <v>12</v>
      </c>
      <c r="B3" s="88"/>
    </row>
    <row r="4" spans="1:3" ht="23.4" x14ac:dyDescent="0.3">
      <c r="A4" s="89" t="s">
        <v>13</v>
      </c>
      <c r="B4" s="89"/>
    </row>
    <row r="5" spans="1:3" ht="17.399999999999999" x14ac:dyDescent="0.35">
      <c r="A5" s="85" t="s">
        <v>14</v>
      </c>
      <c r="B5" s="85"/>
    </row>
    <row r="6" spans="1:3" ht="17.399999999999999" x14ac:dyDescent="0.35">
      <c r="A6" s="85" t="s">
        <v>15</v>
      </c>
      <c r="B6" s="85"/>
    </row>
    <row r="7" spans="1:3" ht="8.4" customHeight="1" x14ac:dyDescent="0.35">
      <c r="A7" s="29"/>
    </row>
    <row r="8" spans="1:3" ht="22.65" customHeight="1" x14ac:dyDescent="0.3">
      <c r="A8" s="84" t="s">
        <v>19</v>
      </c>
      <c r="B8" s="84"/>
    </row>
    <row r="9" spans="1:3" ht="22.65" customHeight="1" x14ac:dyDescent="0.3">
      <c r="A9" s="84" t="s">
        <v>20</v>
      </c>
      <c r="B9" s="84"/>
    </row>
    <row r="10" spans="1:3" ht="22.65" customHeight="1" x14ac:dyDescent="0.3">
      <c r="A10" s="84" t="s">
        <v>21</v>
      </c>
      <c r="B10" s="84"/>
    </row>
    <row r="11" spans="1:3" ht="22.65" customHeight="1" x14ac:dyDescent="0.3">
      <c r="A11" s="84" t="s">
        <v>22</v>
      </c>
      <c r="B11" s="84"/>
    </row>
    <row r="12" spans="1:3" ht="22.65" customHeight="1" x14ac:dyDescent="0.3">
      <c r="A12" s="84" t="s">
        <v>41</v>
      </c>
      <c r="B12" s="84"/>
    </row>
    <row r="13" spans="1:3" ht="22.65" customHeight="1" x14ac:dyDescent="0.3">
      <c r="A13" s="84" t="s">
        <v>23</v>
      </c>
      <c r="B13" s="84"/>
    </row>
    <row r="14" spans="1:3" ht="22.65" customHeight="1" x14ac:dyDescent="0.3">
      <c r="A14" s="84" t="s">
        <v>48</v>
      </c>
      <c r="B14" s="84"/>
    </row>
    <row r="15" spans="1:3" ht="22.65" customHeight="1" x14ac:dyDescent="0.3">
      <c r="A15" s="84" t="s">
        <v>24</v>
      </c>
      <c r="B15" s="84"/>
    </row>
    <row r="16" spans="1:3" ht="22.65" customHeight="1" x14ac:dyDescent="0.3">
      <c r="A16" s="84" t="s">
        <v>49</v>
      </c>
      <c r="B16" s="84"/>
    </row>
    <row r="17" spans="1:2" ht="22.65" customHeight="1" x14ac:dyDescent="0.3">
      <c r="A17" s="84" t="s">
        <v>42</v>
      </c>
      <c r="B17" s="84"/>
    </row>
    <row r="18" spans="1:2" ht="22.65" customHeight="1" x14ac:dyDescent="0.3">
      <c r="A18" s="84" t="s">
        <v>26</v>
      </c>
      <c r="B18" s="84"/>
    </row>
    <row r="19" spans="1:2" ht="22.65" customHeight="1" x14ac:dyDescent="0.3">
      <c r="A19" s="84" t="s">
        <v>25</v>
      </c>
      <c r="B19" s="84"/>
    </row>
    <row r="20" spans="1:2" ht="22.65" customHeight="1" x14ac:dyDescent="0.3">
      <c r="A20" s="90" t="s">
        <v>43</v>
      </c>
      <c r="B20" s="84"/>
    </row>
    <row r="21" spans="1:2" ht="22.65" customHeight="1" x14ac:dyDescent="0.3">
      <c r="A21" s="84" t="s">
        <v>27</v>
      </c>
      <c r="B21" s="84"/>
    </row>
    <row r="22" spans="1:2" ht="12" customHeight="1" x14ac:dyDescent="0.3">
      <c r="A22" s="31"/>
      <c r="B22" s="31"/>
    </row>
    <row r="23" spans="1:2" ht="22.2" customHeight="1" x14ac:dyDescent="0.3">
      <c r="A23" s="87" t="s">
        <v>29</v>
      </c>
      <c r="B23" s="87"/>
    </row>
    <row r="24" spans="1:2" ht="22.65" customHeight="1" x14ac:dyDescent="0.3">
      <c r="A24" s="84" t="s">
        <v>30</v>
      </c>
      <c r="B24" s="84"/>
    </row>
    <row r="25" spans="1:2" ht="22.2" customHeight="1" x14ac:dyDescent="0.3">
      <c r="A25" s="84" t="s">
        <v>31</v>
      </c>
      <c r="B25" s="84"/>
    </row>
    <row r="26" spans="1:2" ht="22.65" customHeight="1" x14ac:dyDescent="0.3">
      <c r="A26" s="84" t="s">
        <v>32</v>
      </c>
      <c r="B26" s="84"/>
    </row>
    <row r="27" spans="1:2" ht="10.8" customHeight="1" x14ac:dyDescent="0.3">
      <c r="A27" s="31"/>
      <c r="B27" s="31"/>
    </row>
    <row r="28" spans="1:2" ht="22.2" customHeight="1" x14ac:dyDescent="0.3">
      <c r="A28" s="87" t="s">
        <v>33</v>
      </c>
      <c r="B28" s="87"/>
    </row>
    <row r="29" spans="1:2" ht="10.199999999999999" customHeight="1" x14ac:dyDescent="0.3">
      <c r="A29" s="31"/>
      <c r="B29" s="31"/>
    </row>
    <row r="30" spans="1:2" ht="22.65" customHeight="1" x14ac:dyDescent="0.3">
      <c r="A30" s="40" t="s">
        <v>35</v>
      </c>
      <c r="B30" s="31"/>
    </row>
    <row r="31" spans="1:2" ht="22.65" customHeight="1" x14ac:dyDescent="0.3">
      <c r="A31" s="41" t="s">
        <v>34</v>
      </c>
    </row>
    <row r="32" spans="1:2" ht="18" x14ac:dyDescent="0.35">
      <c r="A32" s="28"/>
    </row>
    <row r="33" spans="1:2" ht="23.4" customHeight="1" x14ac:dyDescent="0.3">
      <c r="A33" s="87" t="s">
        <v>17</v>
      </c>
      <c r="B33" s="87"/>
    </row>
    <row r="34" spans="1:2" s="29" customFormat="1" ht="22.65" customHeight="1" x14ac:dyDescent="0.35">
      <c r="A34" s="85" t="s">
        <v>36</v>
      </c>
      <c r="B34" s="85"/>
    </row>
    <row r="35" spans="1:2" s="29" customFormat="1" ht="22.65" customHeight="1" x14ac:dyDescent="0.35">
      <c r="A35" s="85" t="s">
        <v>37</v>
      </c>
      <c r="B35" s="85"/>
    </row>
    <row r="36" spans="1:2" s="29" customFormat="1" ht="22.65" customHeight="1" x14ac:dyDescent="0.35">
      <c r="A36" s="85" t="s">
        <v>38</v>
      </c>
      <c r="B36" s="85"/>
    </row>
    <row r="37" spans="1:2" s="29" customFormat="1" ht="6" customHeight="1" x14ac:dyDescent="0.35">
      <c r="A37" s="30"/>
      <c r="B37" s="30"/>
    </row>
    <row r="38" spans="1:2" s="29" customFormat="1" ht="22.65" customHeight="1" x14ac:dyDescent="0.35">
      <c r="A38" s="85" t="s">
        <v>51</v>
      </c>
      <c r="B38" s="85"/>
    </row>
    <row r="39" spans="1:2" ht="22.65" customHeight="1" x14ac:dyDescent="0.35">
      <c r="A39" s="85" t="s">
        <v>50</v>
      </c>
      <c r="B39" s="85"/>
    </row>
    <row r="40" spans="1:2" ht="9.6" customHeight="1" x14ac:dyDescent="0.35">
      <c r="A40" s="30"/>
      <c r="B40" s="30"/>
    </row>
    <row r="41" spans="1:2" ht="22.2" customHeight="1" x14ac:dyDescent="0.35">
      <c r="A41" s="85" t="s">
        <v>46</v>
      </c>
      <c r="B41" s="85"/>
    </row>
    <row r="42" spans="1:2" ht="22.65" customHeight="1" x14ac:dyDescent="0.35">
      <c r="A42" s="85" t="s">
        <v>47</v>
      </c>
      <c r="B42" s="85"/>
    </row>
    <row r="43" spans="1:2" ht="4.8" customHeight="1" x14ac:dyDescent="0.35">
      <c r="A43" s="30"/>
      <c r="B43" s="30"/>
    </row>
    <row r="44" spans="1:2" ht="22.65" customHeight="1" x14ac:dyDescent="0.35">
      <c r="A44" s="85" t="s">
        <v>39</v>
      </c>
      <c r="B44" s="85"/>
    </row>
    <row r="45" spans="1:2" ht="22.65" customHeight="1" x14ac:dyDescent="0.35">
      <c r="A45" s="85" t="s">
        <v>40</v>
      </c>
      <c r="B45" s="85"/>
    </row>
    <row r="46" spans="1:2" ht="10.199999999999999" customHeight="1" x14ac:dyDescent="0.35">
      <c r="A46" s="30"/>
      <c r="B46" s="30"/>
    </row>
    <row r="47" spans="1:2" ht="10.199999999999999" customHeight="1" x14ac:dyDescent="0.35">
      <c r="A47" s="30"/>
      <c r="B47" s="30"/>
    </row>
    <row r="48" spans="1:2" ht="23.4" x14ac:dyDescent="0.3">
      <c r="A48" s="86" t="s">
        <v>18</v>
      </c>
      <c r="B48" s="86"/>
    </row>
    <row r="49" spans="1:2" ht="22.65" customHeight="1" x14ac:dyDescent="0.35">
      <c r="A49" s="85" t="s">
        <v>52</v>
      </c>
      <c r="B49" s="85"/>
    </row>
    <row r="50" spans="1:2" ht="22.65" customHeight="1" x14ac:dyDescent="0.35">
      <c r="A50" s="85" t="s">
        <v>53</v>
      </c>
      <c r="B50" s="85"/>
    </row>
    <row r="51" spans="1:2" ht="17.399999999999999" x14ac:dyDescent="0.35">
      <c r="A51" s="29"/>
    </row>
    <row r="52" spans="1:2" ht="17.399999999999999" x14ac:dyDescent="0.35">
      <c r="A52" s="29"/>
    </row>
    <row r="53" spans="1:2" ht="17.399999999999999" x14ac:dyDescent="0.35">
      <c r="A53" s="29"/>
    </row>
  </sheetData>
  <mergeCells count="37">
    <mergeCell ref="A38:B38"/>
    <mergeCell ref="A49:B49"/>
    <mergeCell ref="A44:B44"/>
    <mergeCell ref="A45:B45"/>
    <mergeCell ref="A28:B28"/>
    <mergeCell ref="A2:B2"/>
    <mergeCell ref="A3:B3"/>
    <mergeCell ref="A4:B4"/>
    <mergeCell ref="A21:B21"/>
    <mergeCell ref="A20:B20"/>
    <mergeCell ref="A19:B19"/>
    <mergeCell ref="A6:B6"/>
    <mergeCell ref="A5:B5"/>
    <mergeCell ref="A10:B10"/>
    <mergeCell ref="A16:B16"/>
    <mergeCell ref="A15:B15"/>
    <mergeCell ref="A14:B14"/>
    <mergeCell ref="A9:B9"/>
    <mergeCell ref="A8:B8"/>
    <mergeCell ref="A18:B18"/>
    <mergeCell ref="A13:B13"/>
    <mergeCell ref="A17:B17"/>
    <mergeCell ref="A11:B11"/>
    <mergeCell ref="A50:B50"/>
    <mergeCell ref="A36:B36"/>
    <mergeCell ref="A48:B48"/>
    <mergeCell ref="A26:B26"/>
    <mergeCell ref="A25:B25"/>
    <mergeCell ref="A24:B24"/>
    <mergeCell ref="A23:B23"/>
    <mergeCell ref="A34:B34"/>
    <mergeCell ref="A39:B39"/>
    <mergeCell ref="A41:B41"/>
    <mergeCell ref="A35:B35"/>
    <mergeCell ref="A33:B33"/>
    <mergeCell ref="A12:B12"/>
    <mergeCell ref="A42:B4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7538C-5269-4853-86F7-7D8CFEE07BDC}">
  <dimension ref="A1:T34"/>
  <sheetViews>
    <sheetView zoomScaleNormal="100" workbookViewId="0">
      <selection activeCell="A5" sqref="A5"/>
    </sheetView>
  </sheetViews>
  <sheetFormatPr defaultRowHeight="14.4" x14ac:dyDescent="0.3"/>
  <cols>
    <col min="1" max="1" width="48.33203125" style="51" customWidth="1"/>
    <col min="2" max="3" width="23.33203125" style="51" customWidth="1"/>
    <col min="4" max="10" width="27.109375" style="51" customWidth="1"/>
    <col min="11" max="13" width="23.33203125" style="51" customWidth="1"/>
    <col min="14" max="14" width="23.21875" style="51" customWidth="1"/>
    <col min="15" max="17" width="27.109375" style="51" customWidth="1"/>
    <col min="18" max="18" width="29.77734375" style="51" customWidth="1"/>
    <col min="19" max="19" width="8.88671875" style="51"/>
    <col min="20" max="20" width="27.109375" style="51" customWidth="1"/>
    <col min="21" max="16384" width="8.88671875" style="51"/>
  </cols>
  <sheetData>
    <row r="1" spans="1:20" ht="106.2" customHeight="1" thickBot="1" x14ac:dyDescent="0.35">
      <c r="A1" s="4"/>
      <c r="B1" s="80" t="s">
        <v>79</v>
      </c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2"/>
    </row>
    <row r="2" spans="1:20" ht="22.8" customHeight="1" thickTop="1" thickBot="1" x14ac:dyDescent="0.35">
      <c r="A2" s="33" t="s">
        <v>77</v>
      </c>
      <c r="B2" s="77" t="s">
        <v>0</v>
      </c>
      <c r="C2" s="77"/>
      <c r="D2" s="34" t="s">
        <v>1</v>
      </c>
      <c r="E2" s="35" t="s">
        <v>7</v>
      </c>
      <c r="F2" s="36" t="s">
        <v>2</v>
      </c>
      <c r="G2" s="36" t="s">
        <v>6</v>
      </c>
      <c r="H2" s="45" t="s">
        <v>44</v>
      </c>
      <c r="I2" s="6" t="s">
        <v>45</v>
      </c>
      <c r="J2" s="46" t="s">
        <v>8</v>
      </c>
      <c r="K2" s="78" t="s">
        <v>4</v>
      </c>
      <c r="L2" s="79"/>
      <c r="M2" s="83" t="s">
        <v>5</v>
      </c>
      <c r="N2" s="83"/>
      <c r="O2" s="38" t="s">
        <v>1</v>
      </c>
      <c r="P2" s="42" t="s">
        <v>10</v>
      </c>
      <c r="Q2" s="6" t="s">
        <v>16</v>
      </c>
      <c r="R2" s="32" t="s">
        <v>28</v>
      </c>
      <c r="S2" s="76"/>
      <c r="T2" s="39" t="s">
        <v>3</v>
      </c>
    </row>
    <row r="3" spans="1:20" ht="19.2" thickTop="1" thickBot="1" x14ac:dyDescent="0.35">
      <c r="A3" s="47" t="s">
        <v>54</v>
      </c>
      <c r="B3" s="48">
        <v>45505</v>
      </c>
      <c r="C3" s="49">
        <v>45869</v>
      </c>
      <c r="D3" s="16" t="str">
        <f ca="1">IF(C3&lt;$T$3,"Férias Vencidas","A vencer")</f>
        <v>Férias Vencidas</v>
      </c>
      <c r="E3" s="17">
        <f>C3+1</f>
        <v>45870</v>
      </c>
      <c r="F3" s="15">
        <f>C3+336</f>
        <v>46205</v>
      </c>
      <c r="G3" s="21">
        <v>30</v>
      </c>
      <c r="H3" s="22">
        <v>30</v>
      </c>
      <c r="I3" s="56"/>
      <c r="J3" s="44">
        <f t="shared" ref="J3:J19" si="0">G3-H3-I3</f>
        <v>0</v>
      </c>
      <c r="K3" s="13">
        <v>46083</v>
      </c>
      <c r="L3" s="37">
        <f>SUM(K3+H3-1)</f>
        <v>46112</v>
      </c>
      <c r="M3" s="65"/>
      <c r="N3" s="37">
        <f>SUM(M3+I3-1)</f>
        <v>-1</v>
      </c>
      <c r="O3" s="25" t="str">
        <f>IF(K3&lt;C3,"Férias Não Vencidas",IF(K3&gt;F3,"Férias em Dobro","Dentro do Prazo"))</f>
        <v>Dentro do Prazo</v>
      </c>
      <c r="P3" s="43" t="s">
        <v>78</v>
      </c>
      <c r="Q3" s="68"/>
      <c r="R3" s="52"/>
      <c r="S3" s="69"/>
      <c r="T3" s="10">
        <f ca="1">TODAY()</f>
        <v>46127</v>
      </c>
    </row>
    <row r="4" spans="1:20" ht="19.2" thickTop="1" thickBot="1" x14ac:dyDescent="0.35">
      <c r="A4" s="5" t="s">
        <v>54</v>
      </c>
      <c r="B4" s="7">
        <v>45870</v>
      </c>
      <c r="C4" s="50">
        <v>46234</v>
      </c>
      <c r="D4" s="16" t="str">
        <f ca="1">IF(C4&lt;$T$3,"Férias Vencidas","A vencer")</f>
        <v>A vencer</v>
      </c>
      <c r="E4" s="17">
        <f>C4+1</f>
        <v>46235</v>
      </c>
      <c r="F4" s="15">
        <f>C4+336</f>
        <v>46570</v>
      </c>
      <c r="G4" s="21">
        <v>30</v>
      </c>
      <c r="H4" s="55"/>
      <c r="I4" s="56"/>
      <c r="J4" s="44">
        <f t="shared" ref="J4" si="1">G4-H4-I4</f>
        <v>30</v>
      </c>
      <c r="K4" s="64"/>
      <c r="L4" s="37">
        <f>SUM(K4+H4-1)</f>
        <v>-1</v>
      </c>
      <c r="M4" s="65"/>
      <c r="N4" s="37">
        <f>SUM(M4+I4-1)</f>
        <v>-1</v>
      </c>
      <c r="O4" s="25" t="str">
        <f>IF(K4&lt;C4,"Férias Não Vencidas",IF(K4&gt;F4,"Férias em Dobro","Dentro do Prazo"))</f>
        <v>Férias Não Vencidas</v>
      </c>
      <c r="P4" s="43"/>
      <c r="Q4" s="68"/>
      <c r="R4" s="52"/>
      <c r="S4" s="69"/>
      <c r="T4" s="70"/>
    </row>
    <row r="5" spans="1:20" ht="19.2" thickTop="1" thickBot="1" x14ac:dyDescent="0.35">
      <c r="A5" s="3" t="s">
        <v>55</v>
      </c>
      <c r="B5" s="8">
        <v>45798</v>
      </c>
      <c r="C5" s="11">
        <v>46162</v>
      </c>
      <c r="D5" s="16" t="str">
        <f ca="1">IF(C5&lt;$T$3,"Férias Vencidas","A vencer")</f>
        <v>A vencer</v>
      </c>
      <c r="E5" s="17">
        <f t="shared" ref="E5:E19" si="2">C5+1</f>
        <v>46163</v>
      </c>
      <c r="F5" s="15">
        <f>C5+336</f>
        <v>46498</v>
      </c>
      <c r="G5" s="21">
        <v>30</v>
      </c>
      <c r="H5" s="74"/>
      <c r="I5" s="56"/>
      <c r="J5" s="44">
        <f t="shared" si="0"/>
        <v>30</v>
      </c>
      <c r="K5" s="64"/>
      <c r="L5" s="37">
        <f>SUM(K5+H5-1)</f>
        <v>-1</v>
      </c>
      <c r="M5" s="64"/>
      <c r="N5" s="37">
        <f t="shared" ref="N5:N19" si="3">SUM(M5+I5-1)</f>
        <v>-1</v>
      </c>
      <c r="O5" s="24" t="str">
        <f>IF(K5&lt;C5,"Férias Não Vencidas",IF(K5&gt;F5,"Férias em Dobro","Dentro do Prazo"))</f>
        <v>Férias Não Vencidas</v>
      </c>
      <c r="P5" s="43"/>
      <c r="Q5" s="52"/>
      <c r="R5" s="52"/>
      <c r="S5" s="57"/>
      <c r="T5" s="58"/>
    </row>
    <row r="6" spans="1:20" ht="19.2" thickTop="1" thickBot="1" x14ac:dyDescent="0.35">
      <c r="A6" s="3" t="s">
        <v>56</v>
      </c>
      <c r="B6" s="8">
        <v>45734</v>
      </c>
      <c r="C6" s="11">
        <v>46098</v>
      </c>
      <c r="D6" s="16" t="str">
        <f ca="1">IF(C6&lt;$T$3,"Férias Vencidas","A vencer")</f>
        <v>Férias Vencidas</v>
      </c>
      <c r="E6" s="15">
        <f t="shared" si="2"/>
        <v>46099</v>
      </c>
      <c r="F6" s="15">
        <f>C6+336</f>
        <v>46434</v>
      </c>
      <c r="G6" s="21">
        <v>30</v>
      </c>
      <c r="H6" s="75"/>
      <c r="I6" s="56"/>
      <c r="J6" s="44">
        <f t="shared" si="0"/>
        <v>30</v>
      </c>
      <c r="K6" s="65"/>
      <c r="L6" s="37">
        <f>SUM(K6+H6-1)</f>
        <v>-1</v>
      </c>
      <c r="M6" s="64"/>
      <c r="N6" s="37">
        <f t="shared" si="3"/>
        <v>-1</v>
      </c>
      <c r="O6" s="24" t="str">
        <f>IF(K6&lt;C6,"Férias Não Vencidas",IF(K6&gt;F6,"Férias em Dobro","Dentro do Prazo"))</f>
        <v>Férias Não Vencidas</v>
      </c>
      <c r="P6" s="43"/>
      <c r="Q6" s="52"/>
      <c r="R6" s="52"/>
      <c r="S6" s="57"/>
      <c r="T6" s="58"/>
    </row>
    <row r="7" spans="1:20" ht="19.2" thickTop="1" thickBot="1" x14ac:dyDescent="0.35">
      <c r="A7" s="3" t="s">
        <v>57</v>
      </c>
      <c r="B7" s="9">
        <v>45866</v>
      </c>
      <c r="C7" s="14">
        <v>46230</v>
      </c>
      <c r="D7" s="16" t="str">
        <f ca="1">IF(C7&lt;$T$3,"Férias Vencidas","A vencer")</f>
        <v>A vencer</v>
      </c>
      <c r="E7" s="17">
        <f t="shared" si="2"/>
        <v>46231</v>
      </c>
      <c r="F7" s="15">
        <f t="shared" ref="F7:F19" si="4">IF(C7 = "", "--", C7+336)</f>
        <v>46566</v>
      </c>
      <c r="G7" s="21">
        <v>30</v>
      </c>
      <c r="H7" s="67"/>
      <c r="I7" s="56"/>
      <c r="J7" s="44">
        <f t="shared" si="0"/>
        <v>30</v>
      </c>
      <c r="K7" s="65"/>
      <c r="L7" s="37">
        <f t="shared" ref="L7:L19" si="5">SUM(K7+H7-1)</f>
        <v>-1</v>
      </c>
      <c r="M7" s="64"/>
      <c r="N7" s="37">
        <f t="shared" si="3"/>
        <v>-1</v>
      </c>
      <c r="O7" s="24" t="str">
        <f>IF(K7&lt;C7,"Férias Não Vencidas",IF(K7&gt;F7,"Férias em Dobro","Dentro do Prazo"))</f>
        <v>Férias Não Vencidas</v>
      </c>
      <c r="P7" s="43"/>
      <c r="Q7" s="52"/>
      <c r="R7" s="52"/>
      <c r="S7" s="57"/>
      <c r="T7" s="71"/>
    </row>
    <row r="8" spans="1:20" ht="19.2" thickTop="1" thickBot="1" x14ac:dyDescent="0.35">
      <c r="A8" s="3" t="s">
        <v>58</v>
      </c>
      <c r="B8" s="9">
        <v>46000</v>
      </c>
      <c r="C8" s="14">
        <v>46364</v>
      </c>
      <c r="D8" s="16" t="str">
        <f t="shared" ref="D8:D19" ca="1" si="6">IF(C8= "", "--", IF(C8&lt;$T$3,"Férias Vencidas","A vencer"))</f>
        <v>A vencer</v>
      </c>
      <c r="E8" s="17">
        <f t="shared" si="2"/>
        <v>46365</v>
      </c>
      <c r="F8" s="15">
        <f t="shared" si="4"/>
        <v>46700</v>
      </c>
      <c r="G8" s="21">
        <v>30</v>
      </c>
      <c r="H8" s="67"/>
      <c r="I8" s="56"/>
      <c r="J8" s="44">
        <f t="shared" si="0"/>
        <v>30</v>
      </c>
      <c r="K8" s="65"/>
      <c r="L8" s="37">
        <f>SUM(K8+H8-1)</f>
        <v>-1</v>
      </c>
      <c r="M8" s="64"/>
      <c r="N8" s="37">
        <f t="shared" si="3"/>
        <v>-1</v>
      </c>
      <c r="O8" s="24" t="str">
        <f t="shared" ref="O8:O19" si="7">IF(C8 = "", "--", IF(K8&lt;C8,"Férias Não Vencidas",IF(K8&gt;F8,"Férias em Dobro","Dentro do Prazo")))</f>
        <v>Férias Não Vencidas</v>
      </c>
      <c r="P8" s="43"/>
      <c r="Q8" s="52"/>
      <c r="R8" s="52"/>
      <c r="S8" s="72"/>
      <c r="T8" s="73"/>
    </row>
    <row r="9" spans="1:20" ht="19.2" thickTop="1" thickBot="1" x14ac:dyDescent="0.35">
      <c r="A9" s="3" t="s">
        <v>59</v>
      </c>
      <c r="B9" s="9">
        <v>45524</v>
      </c>
      <c r="C9" s="14">
        <v>45888</v>
      </c>
      <c r="D9" s="16" t="str">
        <f t="shared" ca="1" si="6"/>
        <v>Férias Vencidas</v>
      </c>
      <c r="E9" s="17">
        <f t="shared" si="2"/>
        <v>45889</v>
      </c>
      <c r="F9" s="15">
        <f t="shared" si="4"/>
        <v>46224</v>
      </c>
      <c r="G9" s="21">
        <v>30</v>
      </c>
      <c r="H9" s="23">
        <v>30</v>
      </c>
      <c r="I9" s="56"/>
      <c r="J9" s="44">
        <f t="shared" si="0"/>
        <v>0</v>
      </c>
      <c r="K9" s="12">
        <v>46055</v>
      </c>
      <c r="L9" s="37">
        <f t="shared" si="5"/>
        <v>46084</v>
      </c>
      <c r="M9" s="64"/>
      <c r="N9" s="37">
        <f t="shared" si="3"/>
        <v>-1</v>
      </c>
      <c r="O9" s="24" t="str">
        <f t="shared" si="7"/>
        <v>Dentro do Prazo</v>
      </c>
      <c r="P9" s="43" t="s">
        <v>78</v>
      </c>
      <c r="Q9" s="52"/>
      <c r="R9" s="52"/>
      <c r="S9" s="57"/>
      <c r="T9" s="58"/>
    </row>
    <row r="10" spans="1:20" ht="19.2" thickTop="1" thickBot="1" x14ac:dyDescent="0.35">
      <c r="A10" s="3" t="s">
        <v>59</v>
      </c>
      <c r="B10" s="9">
        <v>45889</v>
      </c>
      <c r="C10" s="14">
        <v>46253</v>
      </c>
      <c r="D10" s="16" t="str">
        <f t="shared" ref="D10" ca="1" si="8">IF(C10= "", "--", IF(C10&lt;$T$3,"Férias Vencidas","A vencer"))</f>
        <v>A vencer</v>
      </c>
      <c r="E10" s="17">
        <f t="shared" ref="E10" si="9">C10+1</f>
        <v>46254</v>
      </c>
      <c r="F10" s="15">
        <f t="shared" ref="F10" si="10">IF(C10 = "", "--", C10+336)</f>
        <v>46589</v>
      </c>
      <c r="G10" s="21">
        <v>30</v>
      </c>
      <c r="H10" s="67"/>
      <c r="I10" s="56"/>
      <c r="J10" s="44">
        <f t="shared" ref="J10" si="11">G10-H10-I10</f>
        <v>30</v>
      </c>
      <c r="K10" s="65"/>
      <c r="L10" s="37">
        <f t="shared" ref="L10" si="12">SUM(K10+H10-1)</f>
        <v>-1</v>
      </c>
      <c r="M10" s="64"/>
      <c r="N10" s="37">
        <f t="shared" ref="N10" si="13">SUM(M10+I10-1)</f>
        <v>-1</v>
      </c>
      <c r="O10" s="24" t="str">
        <f t="shared" ref="O10" si="14">IF(C10 = "", "--", IF(K10&lt;C10,"Férias Não Vencidas",IF(K10&gt;F10,"Férias em Dobro","Dentro do Prazo")))</f>
        <v>Férias Não Vencidas</v>
      </c>
      <c r="P10" s="43"/>
      <c r="Q10" s="52"/>
      <c r="R10" s="52"/>
      <c r="S10" s="57"/>
      <c r="T10" s="58"/>
    </row>
    <row r="11" spans="1:20" ht="19.2" thickTop="1" thickBot="1" x14ac:dyDescent="0.35">
      <c r="A11" s="3" t="s">
        <v>60</v>
      </c>
      <c r="B11" s="9">
        <v>45653</v>
      </c>
      <c r="C11" s="14">
        <v>46017</v>
      </c>
      <c r="D11" s="16" t="str">
        <f t="shared" ca="1" si="6"/>
        <v>Férias Vencidas</v>
      </c>
      <c r="E11" s="17">
        <f t="shared" si="2"/>
        <v>46018</v>
      </c>
      <c r="F11" s="15">
        <f t="shared" si="4"/>
        <v>46353</v>
      </c>
      <c r="G11" s="21">
        <v>30</v>
      </c>
      <c r="H11" s="67"/>
      <c r="I11" s="56"/>
      <c r="J11" s="44">
        <f t="shared" si="0"/>
        <v>30</v>
      </c>
      <c r="K11" s="65"/>
      <c r="L11" s="37">
        <f t="shared" si="5"/>
        <v>-1</v>
      </c>
      <c r="M11" s="64"/>
      <c r="N11" s="37">
        <f t="shared" si="3"/>
        <v>-1</v>
      </c>
      <c r="O11" s="24" t="str">
        <f t="shared" si="7"/>
        <v>Férias Não Vencidas</v>
      </c>
      <c r="P11" s="43"/>
      <c r="Q11" s="52"/>
      <c r="R11" s="52"/>
      <c r="S11" s="57"/>
      <c r="T11" s="58"/>
    </row>
    <row r="12" spans="1:20" ht="19.2" thickTop="1" thickBot="1" x14ac:dyDescent="0.35">
      <c r="A12" s="3" t="s">
        <v>60</v>
      </c>
      <c r="B12" s="9">
        <v>46018</v>
      </c>
      <c r="C12" s="14">
        <v>46382</v>
      </c>
      <c r="D12" s="16" t="str">
        <f t="shared" ref="D12" ca="1" si="15">IF(C12= "", "--", IF(C12&lt;$T$3,"Férias Vencidas","A vencer"))</f>
        <v>A vencer</v>
      </c>
      <c r="E12" s="17">
        <f t="shared" ref="E12" si="16">C12+1</f>
        <v>46383</v>
      </c>
      <c r="F12" s="15">
        <f t="shared" ref="F12" si="17">IF(C12 = "", "--", C12+336)</f>
        <v>46718</v>
      </c>
      <c r="G12" s="21">
        <v>30</v>
      </c>
      <c r="H12" s="67"/>
      <c r="I12" s="56"/>
      <c r="J12" s="44">
        <f t="shared" ref="J12" si="18">G12-H12-I12</f>
        <v>30</v>
      </c>
      <c r="K12" s="65"/>
      <c r="L12" s="37">
        <f t="shared" ref="L12" si="19">SUM(K12+H12-1)</f>
        <v>-1</v>
      </c>
      <c r="M12" s="64"/>
      <c r="N12" s="37">
        <f t="shared" ref="N12" si="20">SUM(M12+I12-1)</f>
        <v>-1</v>
      </c>
      <c r="O12" s="24" t="str">
        <f t="shared" ref="O12" si="21">IF(C12 = "", "--", IF(K12&lt;C12,"Férias Não Vencidas",IF(K12&gt;F12,"Férias em Dobro","Dentro do Prazo")))</f>
        <v>Férias Não Vencidas</v>
      </c>
      <c r="P12" s="43"/>
      <c r="Q12" s="52"/>
      <c r="R12" s="52"/>
      <c r="S12" s="57"/>
      <c r="T12" s="58"/>
    </row>
    <row r="13" spans="1:20" ht="19.2" thickTop="1" thickBot="1" x14ac:dyDescent="0.35">
      <c r="A13" s="3" t="s">
        <v>61</v>
      </c>
      <c r="B13" s="9">
        <v>45796</v>
      </c>
      <c r="C13" s="14">
        <v>46160</v>
      </c>
      <c r="D13" s="16" t="str">
        <f t="shared" ca="1" si="6"/>
        <v>A vencer</v>
      </c>
      <c r="E13" s="17">
        <f t="shared" si="2"/>
        <v>46161</v>
      </c>
      <c r="F13" s="15">
        <f t="shared" si="4"/>
        <v>46496</v>
      </c>
      <c r="G13" s="21">
        <v>30</v>
      </c>
      <c r="H13" s="67"/>
      <c r="I13" s="56"/>
      <c r="J13" s="44">
        <f t="shared" si="0"/>
        <v>30</v>
      </c>
      <c r="K13" s="65"/>
      <c r="L13" s="37">
        <f t="shared" si="5"/>
        <v>-1</v>
      </c>
      <c r="M13" s="64"/>
      <c r="N13" s="37">
        <f t="shared" si="3"/>
        <v>-1</v>
      </c>
      <c r="O13" s="24" t="str">
        <f t="shared" si="7"/>
        <v>Férias Não Vencidas</v>
      </c>
      <c r="P13" s="43"/>
      <c r="Q13" s="52"/>
      <c r="R13" s="52"/>
      <c r="S13" s="57"/>
      <c r="T13" s="58"/>
    </row>
    <row r="14" spans="1:20" ht="19.2" thickTop="1" thickBot="1" x14ac:dyDescent="0.35">
      <c r="A14" s="3" t="s">
        <v>62</v>
      </c>
      <c r="B14" s="9">
        <v>45759</v>
      </c>
      <c r="C14" s="14">
        <v>46123</v>
      </c>
      <c r="D14" s="16" t="str">
        <f t="shared" ca="1" si="6"/>
        <v>Férias Vencidas</v>
      </c>
      <c r="E14" s="17">
        <f t="shared" si="2"/>
        <v>46124</v>
      </c>
      <c r="F14" s="15">
        <f t="shared" si="4"/>
        <v>46459</v>
      </c>
      <c r="G14" s="21">
        <v>30</v>
      </c>
      <c r="H14" s="67"/>
      <c r="I14" s="56"/>
      <c r="J14" s="44">
        <f t="shared" si="0"/>
        <v>30</v>
      </c>
      <c r="K14" s="65"/>
      <c r="L14" s="37">
        <f t="shared" si="5"/>
        <v>-1</v>
      </c>
      <c r="M14" s="64"/>
      <c r="N14" s="37">
        <f t="shared" si="3"/>
        <v>-1</v>
      </c>
      <c r="O14" s="24" t="str">
        <f t="shared" si="7"/>
        <v>Férias Não Vencidas</v>
      </c>
      <c r="P14" s="43"/>
      <c r="Q14" s="52"/>
      <c r="R14" s="52"/>
      <c r="S14" s="57"/>
      <c r="T14" s="58"/>
    </row>
    <row r="15" spans="1:20" ht="19.2" thickTop="1" thickBot="1" x14ac:dyDescent="0.35">
      <c r="A15" s="3" t="s">
        <v>63</v>
      </c>
      <c r="B15" s="9">
        <v>45559</v>
      </c>
      <c r="C15" s="14">
        <v>45923</v>
      </c>
      <c r="D15" s="16" t="str">
        <f t="shared" ca="1" si="6"/>
        <v>Férias Vencidas</v>
      </c>
      <c r="E15" s="17">
        <f t="shared" si="2"/>
        <v>45924</v>
      </c>
      <c r="F15" s="15">
        <f t="shared" si="4"/>
        <v>46259</v>
      </c>
      <c r="G15" s="21">
        <v>10</v>
      </c>
      <c r="H15" s="23">
        <v>10</v>
      </c>
      <c r="I15" s="56"/>
      <c r="J15" s="44">
        <f t="shared" si="0"/>
        <v>0</v>
      </c>
      <c r="K15" s="12">
        <v>46064</v>
      </c>
      <c r="L15" s="37">
        <f t="shared" si="5"/>
        <v>46073</v>
      </c>
      <c r="M15" s="64"/>
      <c r="N15" s="37">
        <f t="shared" si="3"/>
        <v>-1</v>
      </c>
      <c r="O15" s="24" t="str">
        <f t="shared" si="7"/>
        <v>Dentro do Prazo</v>
      </c>
      <c r="P15" s="43" t="s">
        <v>78</v>
      </c>
      <c r="Q15" s="52"/>
      <c r="R15" s="52"/>
      <c r="S15" s="57"/>
      <c r="T15" s="58"/>
    </row>
    <row r="16" spans="1:20" ht="19.2" thickTop="1" thickBot="1" x14ac:dyDescent="0.35">
      <c r="A16" s="3" t="s">
        <v>63</v>
      </c>
      <c r="B16" s="9">
        <v>45924</v>
      </c>
      <c r="C16" s="14">
        <v>46288</v>
      </c>
      <c r="D16" s="16" t="str">
        <f t="shared" ref="D16" ca="1" si="22">IF(C16= "", "--", IF(C16&lt;$T$3,"Férias Vencidas","A vencer"))</f>
        <v>A vencer</v>
      </c>
      <c r="E16" s="17">
        <f t="shared" ref="E16" si="23">C16+1</f>
        <v>46289</v>
      </c>
      <c r="F16" s="15">
        <f t="shared" ref="F16" si="24">IF(C16 = "", "--", C16+336)</f>
        <v>46624</v>
      </c>
      <c r="G16" s="21">
        <v>30</v>
      </c>
      <c r="H16" s="67"/>
      <c r="I16" s="56"/>
      <c r="J16" s="44">
        <f t="shared" ref="J16" si="25">G16-H16-I16</f>
        <v>30</v>
      </c>
      <c r="K16" s="65"/>
      <c r="L16" s="37">
        <f t="shared" ref="L16" si="26">SUM(K16+H16-1)</f>
        <v>-1</v>
      </c>
      <c r="M16" s="64"/>
      <c r="N16" s="37">
        <f t="shared" ref="N16" si="27">SUM(M16+I16-1)</f>
        <v>-1</v>
      </c>
      <c r="O16" s="24" t="str">
        <f t="shared" ref="O16" si="28">IF(C16 = "", "--", IF(K16&lt;C16,"Férias Não Vencidas",IF(K16&gt;F16,"Férias em Dobro","Dentro do Prazo")))</f>
        <v>Férias Não Vencidas</v>
      </c>
      <c r="P16" s="43"/>
      <c r="Q16" s="52"/>
      <c r="R16" s="52"/>
      <c r="S16" s="57"/>
      <c r="T16" s="58"/>
    </row>
    <row r="17" spans="1:20" ht="19.2" thickTop="1" thickBot="1" x14ac:dyDescent="0.35">
      <c r="A17" s="3" t="s">
        <v>64</v>
      </c>
      <c r="B17" s="9">
        <v>45863</v>
      </c>
      <c r="C17" s="14">
        <v>46227</v>
      </c>
      <c r="D17" s="16" t="str">
        <f t="shared" ca="1" si="6"/>
        <v>A vencer</v>
      </c>
      <c r="E17" s="17">
        <f t="shared" si="2"/>
        <v>46228</v>
      </c>
      <c r="F17" s="15">
        <f t="shared" si="4"/>
        <v>46563</v>
      </c>
      <c r="G17" s="21">
        <v>30</v>
      </c>
      <c r="H17" s="67"/>
      <c r="I17" s="56"/>
      <c r="J17" s="44">
        <f t="shared" si="0"/>
        <v>30</v>
      </c>
      <c r="K17" s="65"/>
      <c r="L17" s="37">
        <f t="shared" si="5"/>
        <v>-1</v>
      </c>
      <c r="M17" s="64"/>
      <c r="N17" s="37">
        <f t="shared" si="3"/>
        <v>-1</v>
      </c>
      <c r="O17" s="24" t="str">
        <f t="shared" si="7"/>
        <v>Férias Não Vencidas</v>
      </c>
      <c r="P17" s="43"/>
      <c r="Q17" s="52"/>
      <c r="R17" s="52"/>
      <c r="S17" s="57"/>
      <c r="T17" s="58"/>
    </row>
    <row r="18" spans="1:20" ht="19.2" thickTop="1" thickBot="1" x14ac:dyDescent="0.35">
      <c r="A18" s="3" t="s">
        <v>65</v>
      </c>
      <c r="B18" s="9">
        <v>45842</v>
      </c>
      <c r="C18" s="14">
        <v>46206</v>
      </c>
      <c r="D18" s="16" t="str">
        <f t="shared" ca="1" si="6"/>
        <v>A vencer</v>
      </c>
      <c r="E18" s="17">
        <f t="shared" si="2"/>
        <v>46207</v>
      </c>
      <c r="F18" s="15">
        <f t="shared" si="4"/>
        <v>46542</v>
      </c>
      <c r="G18" s="21">
        <v>30</v>
      </c>
      <c r="H18" s="67"/>
      <c r="I18" s="56"/>
      <c r="J18" s="44">
        <f t="shared" si="0"/>
        <v>30</v>
      </c>
      <c r="K18" s="66"/>
      <c r="L18" s="37">
        <f t="shared" si="5"/>
        <v>-1</v>
      </c>
      <c r="M18" s="64"/>
      <c r="N18" s="37">
        <f t="shared" si="3"/>
        <v>-1</v>
      </c>
      <c r="O18" s="19" t="str">
        <f t="shared" si="7"/>
        <v>Férias Não Vencidas</v>
      </c>
      <c r="P18" s="43"/>
      <c r="Q18" s="59"/>
      <c r="R18" s="59"/>
      <c r="S18" s="57"/>
      <c r="T18" s="60"/>
    </row>
    <row r="19" spans="1:20" ht="19.2" thickTop="1" thickBot="1" x14ac:dyDescent="0.35">
      <c r="A19" s="2" t="s">
        <v>66</v>
      </c>
      <c r="B19" s="9">
        <v>45426</v>
      </c>
      <c r="C19" s="14">
        <v>45790</v>
      </c>
      <c r="D19" s="16" t="str">
        <f t="shared" ca="1" si="6"/>
        <v>Férias Vencidas</v>
      </c>
      <c r="E19" s="17">
        <f t="shared" si="2"/>
        <v>45791</v>
      </c>
      <c r="F19" s="15">
        <f t="shared" si="4"/>
        <v>46126</v>
      </c>
      <c r="G19" s="21">
        <v>30</v>
      </c>
      <c r="H19" s="22">
        <v>15</v>
      </c>
      <c r="I19" s="56"/>
      <c r="J19" s="44">
        <f t="shared" si="0"/>
        <v>15</v>
      </c>
      <c r="K19" s="20">
        <v>46083</v>
      </c>
      <c r="L19" s="37">
        <f t="shared" si="5"/>
        <v>46097</v>
      </c>
      <c r="M19" s="53"/>
      <c r="N19" s="37">
        <f t="shared" si="3"/>
        <v>-1</v>
      </c>
      <c r="O19" s="16" t="str">
        <f t="shared" si="7"/>
        <v>Dentro do Prazo</v>
      </c>
      <c r="P19" s="43" t="s">
        <v>78</v>
      </c>
      <c r="Q19" s="52"/>
      <c r="R19" s="52"/>
      <c r="S19" s="61"/>
      <c r="T19" s="62"/>
    </row>
    <row r="20" spans="1:20" ht="19.2" thickTop="1" thickBot="1" x14ac:dyDescent="0.35">
      <c r="A20" s="2" t="s">
        <v>66</v>
      </c>
      <c r="B20" s="9">
        <v>45791</v>
      </c>
      <c r="C20" s="14">
        <v>46155</v>
      </c>
      <c r="D20" s="16" t="str">
        <f t="shared" ref="D20" ca="1" si="29">IF(C20= "", "--", IF(C20&lt;$T$3,"Férias Vencidas","A vencer"))</f>
        <v>A vencer</v>
      </c>
      <c r="E20" s="17">
        <f t="shared" ref="E20" si="30">C20+1</f>
        <v>46156</v>
      </c>
      <c r="F20" s="15">
        <f t="shared" ref="F20" si="31">IF(C20 = "", "--", C20+336)</f>
        <v>46491</v>
      </c>
      <c r="G20" s="21">
        <v>30</v>
      </c>
      <c r="H20" s="55"/>
      <c r="I20" s="56"/>
      <c r="J20" s="44">
        <f t="shared" ref="J20" si="32">G20-H20-I20</f>
        <v>30</v>
      </c>
      <c r="K20" s="54"/>
      <c r="L20" s="37">
        <f t="shared" ref="L20" si="33">SUM(K20+H20-1)</f>
        <v>-1</v>
      </c>
      <c r="M20" s="53"/>
      <c r="N20" s="37">
        <f t="shared" ref="N20" si="34">SUM(M20+I20-1)</f>
        <v>-1</v>
      </c>
      <c r="O20" s="16" t="str">
        <f t="shared" ref="O20" si="35">IF(C20 = "", "--", IF(K20&lt;C20,"Férias Não Vencidas",IF(K20&gt;F20,"Férias em Dobro","Dentro do Prazo")))</f>
        <v>Férias Não Vencidas</v>
      </c>
      <c r="P20" s="43"/>
      <c r="Q20" s="52"/>
      <c r="R20" s="52"/>
      <c r="S20" s="63"/>
      <c r="T20" s="63"/>
    </row>
    <row r="21" spans="1:20" ht="19.2" thickTop="1" thickBot="1" x14ac:dyDescent="0.35">
      <c r="A21" s="2" t="s">
        <v>67</v>
      </c>
      <c r="B21" s="9">
        <v>45929</v>
      </c>
      <c r="C21" s="14">
        <v>46293</v>
      </c>
      <c r="D21" s="16" t="str">
        <f t="shared" ref="D21:D26" ca="1" si="36">IF(C21= "", "--", IF(C21&lt;$T$3,"Férias Vencidas","A vencer"))</f>
        <v>A vencer</v>
      </c>
      <c r="E21" s="17">
        <f t="shared" ref="E21:E26" si="37">C21+1</f>
        <v>46294</v>
      </c>
      <c r="F21" s="15">
        <f t="shared" ref="F21:F26" si="38">IF(C21 = "", "--", C21+336)</f>
        <v>46629</v>
      </c>
      <c r="G21" s="21">
        <v>30</v>
      </c>
      <c r="H21" s="55"/>
      <c r="I21" s="56"/>
      <c r="J21" s="44">
        <f t="shared" ref="J21:J26" si="39">G21-H21-I21</f>
        <v>30</v>
      </c>
      <c r="K21" s="54"/>
      <c r="L21" s="37">
        <f t="shared" ref="L21:L26" si="40">SUM(K21+H21-1)</f>
        <v>-1</v>
      </c>
      <c r="M21" s="53"/>
      <c r="N21" s="37">
        <f t="shared" ref="N21:N26" si="41">SUM(M21+I21-1)</f>
        <v>-1</v>
      </c>
      <c r="O21" s="16" t="str">
        <f t="shared" ref="O21:O26" si="42">IF(C21 = "", "--", IF(K21&lt;C21,"Férias Não Vencidas",IF(K21&gt;F21,"Férias em Dobro","Dentro do Prazo")))</f>
        <v>Férias Não Vencidas</v>
      </c>
      <c r="P21" s="43"/>
      <c r="Q21" s="52"/>
      <c r="R21" s="52"/>
    </row>
    <row r="22" spans="1:20" ht="19.2" thickTop="1" thickBot="1" x14ac:dyDescent="0.35">
      <c r="A22" s="2" t="s">
        <v>68</v>
      </c>
      <c r="B22" s="9">
        <v>46000</v>
      </c>
      <c r="C22" s="14">
        <v>46364</v>
      </c>
      <c r="D22" s="16" t="str">
        <f t="shared" ca="1" si="36"/>
        <v>A vencer</v>
      </c>
      <c r="E22" s="17">
        <f t="shared" si="37"/>
        <v>46365</v>
      </c>
      <c r="F22" s="15">
        <f t="shared" si="38"/>
        <v>46700</v>
      </c>
      <c r="G22" s="21">
        <v>30</v>
      </c>
      <c r="H22" s="55"/>
      <c r="I22" s="56"/>
      <c r="J22" s="44">
        <f t="shared" si="39"/>
        <v>30</v>
      </c>
      <c r="K22" s="54"/>
      <c r="L22" s="37">
        <f t="shared" si="40"/>
        <v>-1</v>
      </c>
      <c r="M22" s="53"/>
      <c r="N22" s="37">
        <f t="shared" si="41"/>
        <v>-1</v>
      </c>
      <c r="O22" s="16" t="str">
        <f t="shared" si="42"/>
        <v>Férias Não Vencidas</v>
      </c>
      <c r="P22" s="43"/>
      <c r="Q22" s="52"/>
      <c r="R22" s="52"/>
    </row>
    <row r="23" spans="1:20" ht="19.2" thickTop="1" thickBot="1" x14ac:dyDescent="0.35">
      <c r="A23" s="2" t="s">
        <v>69</v>
      </c>
      <c r="B23" s="9">
        <v>45915</v>
      </c>
      <c r="C23" s="14">
        <v>46279</v>
      </c>
      <c r="D23" s="16" t="str">
        <f t="shared" ca="1" si="36"/>
        <v>A vencer</v>
      </c>
      <c r="E23" s="17">
        <f t="shared" si="37"/>
        <v>46280</v>
      </c>
      <c r="F23" s="15">
        <f t="shared" si="38"/>
        <v>46615</v>
      </c>
      <c r="G23" s="21">
        <v>30</v>
      </c>
      <c r="H23" s="55"/>
      <c r="I23" s="56"/>
      <c r="J23" s="44">
        <f t="shared" si="39"/>
        <v>30</v>
      </c>
      <c r="K23" s="54"/>
      <c r="L23" s="37">
        <f t="shared" si="40"/>
        <v>-1</v>
      </c>
      <c r="M23" s="53"/>
      <c r="N23" s="37">
        <f t="shared" si="41"/>
        <v>-1</v>
      </c>
      <c r="O23" s="16" t="str">
        <f t="shared" si="42"/>
        <v>Férias Não Vencidas</v>
      </c>
      <c r="P23" s="43"/>
      <c r="Q23" s="52"/>
      <c r="R23" s="52"/>
    </row>
    <row r="24" spans="1:20" ht="19.2" thickTop="1" thickBot="1" x14ac:dyDescent="0.35">
      <c r="A24" s="2" t="s">
        <v>70</v>
      </c>
      <c r="B24" s="9">
        <v>45915</v>
      </c>
      <c r="C24" s="14">
        <v>46279</v>
      </c>
      <c r="D24" s="16" t="str">
        <f t="shared" ca="1" si="36"/>
        <v>A vencer</v>
      </c>
      <c r="E24" s="17">
        <f t="shared" si="37"/>
        <v>46280</v>
      </c>
      <c r="F24" s="15">
        <f t="shared" si="38"/>
        <v>46615</v>
      </c>
      <c r="G24" s="21">
        <v>30</v>
      </c>
      <c r="H24" s="55"/>
      <c r="I24" s="56"/>
      <c r="J24" s="44">
        <f t="shared" si="39"/>
        <v>30</v>
      </c>
      <c r="K24" s="54"/>
      <c r="L24" s="37">
        <f t="shared" si="40"/>
        <v>-1</v>
      </c>
      <c r="M24" s="53"/>
      <c r="N24" s="37">
        <f t="shared" si="41"/>
        <v>-1</v>
      </c>
      <c r="O24" s="16" t="str">
        <f t="shared" si="42"/>
        <v>Férias Não Vencidas</v>
      </c>
      <c r="P24" s="43"/>
      <c r="Q24" s="52"/>
      <c r="R24" s="52"/>
    </row>
    <row r="25" spans="1:20" ht="19.2" thickTop="1" thickBot="1" x14ac:dyDescent="0.35">
      <c r="A25" s="2" t="s">
        <v>71</v>
      </c>
      <c r="B25" s="9">
        <v>45818</v>
      </c>
      <c r="C25" s="14">
        <v>46182</v>
      </c>
      <c r="D25" s="16" t="str">
        <f t="shared" ca="1" si="36"/>
        <v>A vencer</v>
      </c>
      <c r="E25" s="17">
        <f t="shared" si="37"/>
        <v>46183</v>
      </c>
      <c r="F25" s="15">
        <f t="shared" si="38"/>
        <v>46518</v>
      </c>
      <c r="G25" s="21">
        <v>30</v>
      </c>
      <c r="H25" s="55"/>
      <c r="I25" s="56"/>
      <c r="J25" s="44">
        <f t="shared" si="39"/>
        <v>30</v>
      </c>
      <c r="K25" s="54"/>
      <c r="L25" s="37">
        <f t="shared" si="40"/>
        <v>-1</v>
      </c>
      <c r="M25" s="53"/>
      <c r="N25" s="37">
        <f t="shared" si="41"/>
        <v>-1</v>
      </c>
      <c r="O25" s="16" t="str">
        <f t="shared" si="42"/>
        <v>Férias Não Vencidas</v>
      </c>
      <c r="P25" s="43"/>
      <c r="Q25" s="52"/>
      <c r="R25" s="52"/>
    </row>
    <row r="26" spans="1:20" ht="19.2" thickTop="1" thickBot="1" x14ac:dyDescent="0.35">
      <c r="A26" s="2" t="s">
        <v>72</v>
      </c>
      <c r="B26" s="9">
        <v>45830</v>
      </c>
      <c r="C26" s="14">
        <v>46194</v>
      </c>
      <c r="D26" s="16" t="str">
        <f t="shared" ca="1" si="36"/>
        <v>A vencer</v>
      </c>
      <c r="E26" s="17">
        <f t="shared" si="37"/>
        <v>46195</v>
      </c>
      <c r="F26" s="15">
        <f t="shared" si="38"/>
        <v>46530</v>
      </c>
      <c r="G26" s="21">
        <v>30</v>
      </c>
      <c r="H26" s="55"/>
      <c r="I26" s="56"/>
      <c r="J26" s="44">
        <f t="shared" si="39"/>
        <v>30</v>
      </c>
      <c r="K26" s="54"/>
      <c r="L26" s="37">
        <f t="shared" si="40"/>
        <v>-1</v>
      </c>
      <c r="M26" s="53"/>
      <c r="N26" s="37">
        <f t="shared" si="41"/>
        <v>-1</v>
      </c>
      <c r="O26" s="16" t="str">
        <f t="shared" si="42"/>
        <v>Férias Não Vencidas</v>
      </c>
      <c r="P26" s="43"/>
      <c r="Q26" s="52"/>
      <c r="R26" s="52"/>
    </row>
    <row r="27" spans="1:20" ht="19.2" thickTop="1" thickBot="1" x14ac:dyDescent="0.35">
      <c r="A27" s="2" t="s">
        <v>73</v>
      </c>
      <c r="B27" s="9">
        <v>45670</v>
      </c>
      <c r="C27" s="14">
        <v>46034</v>
      </c>
      <c r="D27" s="16" t="str">
        <f t="shared" ref="D27:D32" ca="1" si="43">IF(C27= "", "--", IF(C27&lt;$T$3,"Férias Vencidas","A vencer"))</f>
        <v>Férias Vencidas</v>
      </c>
      <c r="E27" s="17">
        <f t="shared" ref="E27:E32" si="44">C27+1</f>
        <v>46035</v>
      </c>
      <c r="F27" s="15">
        <f t="shared" ref="F27:F32" si="45">IF(C27 = "", "--", C27+336)</f>
        <v>46370</v>
      </c>
      <c r="G27" s="21">
        <v>30</v>
      </c>
      <c r="H27" s="55"/>
      <c r="I27" s="56"/>
      <c r="J27" s="44">
        <f t="shared" ref="J27:J32" si="46">G27-H27-I27</f>
        <v>30</v>
      </c>
      <c r="K27" s="54"/>
      <c r="L27" s="37">
        <f t="shared" ref="L27:L32" si="47">SUM(K27+H27-1)</f>
        <v>-1</v>
      </c>
      <c r="M27" s="53"/>
      <c r="N27" s="37">
        <f t="shared" ref="N27:N32" si="48">SUM(M27+I27-1)</f>
        <v>-1</v>
      </c>
      <c r="O27" s="16" t="str">
        <f t="shared" ref="O27:O32" si="49">IF(C27 = "", "--", IF(K27&lt;C27,"Férias Não Vencidas",IF(K27&gt;F27,"Férias em Dobro","Dentro do Prazo")))</f>
        <v>Férias Não Vencidas</v>
      </c>
      <c r="P27" s="43"/>
      <c r="Q27" s="52"/>
      <c r="R27" s="52"/>
    </row>
    <row r="28" spans="1:20" ht="19.2" thickTop="1" thickBot="1" x14ac:dyDescent="0.35">
      <c r="A28" s="2" t="s">
        <v>73</v>
      </c>
      <c r="B28" s="9">
        <v>46035</v>
      </c>
      <c r="C28" s="14">
        <v>46399</v>
      </c>
      <c r="D28" s="16" t="str">
        <f t="shared" ref="D28" ca="1" si="50">IF(C28= "", "--", IF(C28&lt;$T$3,"Férias Vencidas","A vencer"))</f>
        <v>A vencer</v>
      </c>
      <c r="E28" s="17">
        <f t="shared" ref="E28" si="51">C28+1</f>
        <v>46400</v>
      </c>
      <c r="F28" s="15">
        <f t="shared" ref="F28" si="52">IF(C28 = "", "--", C28+336)</f>
        <v>46735</v>
      </c>
      <c r="G28" s="21">
        <v>30</v>
      </c>
      <c r="H28" s="55"/>
      <c r="I28" s="56"/>
      <c r="J28" s="44">
        <f t="shared" ref="J28" si="53">G28-H28-I28</f>
        <v>30</v>
      </c>
      <c r="K28" s="54"/>
      <c r="L28" s="37">
        <f t="shared" ref="L28" si="54">SUM(K28+H28-1)</f>
        <v>-1</v>
      </c>
      <c r="M28" s="53"/>
      <c r="N28" s="37">
        <f t="shared" ref="N28" si="55">SUM(M28+I28-1)</f>
        <v>-1</v>
      </c>
      <c r="O28" s="16" t="str">
        <f t="shared" ref="O28" si="56">IF(C28 = "", "--", IF(K28&lt;C28,"Férias Não Vencidas",IF(K28&gt;F28,"Férias em Dobro","Dentro do Prazo")))</f>
        <v>Férias Não Vencidas</v>
      </c>
      <c r="P28" s="43"/>
      <c r="Q28" s="52"/>
      <c r="R28" s="52"/>
    </row>
    <row r="29" spans="1:20" ht="19.2" thickTop="1" thickBot="1" x14ac:dyDescent="0.35">
      <c r="A29" s="2" t="s">
        <v>74</v>
      </c>
      <c r="B29" s="9">
        <v>46011</v>
      </c>
      <c r="C29" s="14">
        <v>46375</v>
      </c>
      <c r="D29" s="16" t="str">
        <f t="shared" ca="1" si="43"/>
        <v>A vencer</v>
      </c>
      <c r="E29" s="17">
        <f t="shared" si="44"/>
        <v>46376</v>
      </c>
      <c r="F29" s="15">
        <f t="shared" si="45"/>
        <v>46711</v>
      </c>
      <c r="G29" s="21">
        <v>30</v>
      </c>
      <c r="H29" s="55"/>
      <c r="I29" s="56"/>
      <c r="J29" s="44">
        <f t="shared" si="46"/>
        <v>30</v>
      </c>
      <c r="K29" s="54"/>
      <c r="L29" s="37">
        <f t="shared" si="47"/>
        <v>-1</v>
      </c>
      <c r="M29" s="53"/>
      <c r="N29" s="37">
        <f t="shared" si="48"/>
        <v>-1</v>
      </c>
      <c r="O29" s="16" t="str">
        <f t="shared" si="49"/>
        <v>Férias Não Vencidas</v>
      </c>
      <c r="P29" s="43"/>
      <c r="Q29" s="52"/>
      <c r="R29" s="52"/>
    </row>
    <row r="30" spans="1:20" ht="19.2" thickTop="1" thickBot="1" x14ac:dyDescent="0.35">
      <c r="A30" s="2" t="s">
        <v>75</v>
      </c>
      <c r="B30" s="9">
        <v>45608</v>
      </c>
      <c r="C30" s="14">
        <v>45972</v>
      </c>
      <c r="D30" s="16" t="str">
        <f t="shared" ca="1" si="43"/>
        <v>Férias Vencidas</v>
      </c>
      <c r="E30" s="17">
        <f t="shared" si="44"/>
        <v>45973</v>
      </c>
      <c r="F30" s="15">
        <f t="shared" si="45"/>
        <v>46308</v>
      </c>
      <c r="G30" s="21">
        <v>15</v>
      </c>
      <c r="H30" s="22">
        <v>15</v>
      </c>
      <c r="I30" s="56"/>
      <c r="J30" s="44">
        <f t="shared" si="46"/>
        <v>0</v>
      </c>
      <c r="K30" s="20">
        <v>46098</v>
      </c>
      <c r="L30" s="37">
        <f t="shared" si="47"/>
        <v>46112</v>
      </c>
      <c r="M30" s="53"/>
      <c r="N30" s="37">
        <f t="shared" si="48"/>
        <v>-1</v>
      </c>
      <c r="O30" s="16" t="str">
        <f t="shared" si="49"/>
        <v>Dentro do Prazo</v>
      </c>
      <c r="P30" s="43" t="s">
        <v>78</v>
      </c>
      <c r="Q30" s="52"/>
      <c r="R30" s="52"/>
    </row>
    <row r="31" spans="1:20" ht="19.2" thickTop="1" thickBot="1" x14ac:dyDescent="0.35">
      <c r="A31" s="2" t="s">
        <v>75</v>
      </c>
      <c r="B31" s="9">
        <v>45973</v>
      </c>
      <c r="C31" s="14">
        <v>46337</v>
      </c>
      <c r="D31" s="16" t="str">
        <f t="shared" ref="D31" ca="1" si="57">IF(C31= "", "--", IF(C31&lt;$T$3,"Férias Vencidas","A vencer"))</f>
        <v>A vencer</v>
      </c>
      <c r="E31" s="17">
        <f t="shared" ref="E31" si="58">C31+1</f>
        <v>46338</v>
      </c>
      <c r="F31" s="15">
        <f t="shared" ref="F31" si="59">IF(C31 = "", "--", C31+336)</f>
        <v>46673</v>
      </c>
      <c r="G31" s="21">
        <v>30</v>
      </c>
      <c r="H31" s="55"/>
      <c r="I31" s="56"/>
      <c r="J31" s="44">
        <f t="shared" ref="J31" si="60">G31-H31-I31</f>
        <v>30</v>
      </c>
      <c r="K31" s="54"/>
      <c r="L31" s="37">
        <f t="shared" ref="L31" si="61">SUM(K31+H31-1)</f>
        <v>-1</v>
      </c>
      <c r="M31" s="53"/>
      <c r="N31" s="37">
        <f t="shared" ref="N31" si="62">SUM(M31+I31-1)</f>
        <v>-1</v>
      </c>
      <c r="O31" s="16" t="str">
        <f t="shared" ref="O31" si="63">IF(C31 = "", "--", IF(K31&lt;C31,"Férias Não Vencidas",IF(K31&gt;F31,"Férias em Dobro","Dentro do Prazo")))</f>
        <v>Férias Não Vencidas</v>
      </c>
      <c r="P31" s="43"/>
      <c r="Q31" s="52"/>
      <c r="R31" s="52"/>
    </row>
    <row r="32" spans="1:20" ht="19.2" thickTop="1" thickBot="1" x14ac:dyDescent="0.35">
      <c r="A32" s="2" t="s">
        <v>76</v>
      </c>
      <c r="B32" s="9">
        <v>45413</v>
      </c>
      <c r="C32" s="14">
        <v>45777</v>
      </c>
      <c r="D32" s="16" t="str">
        <f t="shared" ca="1" si="43"/>
        <v>Férias Vencidas</v>
      </c>
      <c r="E32" s="17">
        <f t="shared" si="44"/>
        <v>45778</v>
      </c>
      <c r="F32" s="15">
        <f t="shared" si="45"/>
        <v>46113</v>
      </c>
      <c r="G32" s="21">
        <v>20</v>
      </c>
      <c r="H32" s="22">
        <v>20</v>
      </c>
      <c r="I32" s="56"/>
      <c r="J32" s="44">
        <f t="shared" si="46"/>
        <v>0</v>
      </c>
      <c r="K32" s="20">
        <v>46076</v>
      </c>
      <c r="L32" s="37">
        <f t="shared" si="47"/>
        <v>46095</v>
      </c>
      <c r="M32" s="53"/>
      <c r="N32" s="37">
        <f t="shared" si="48"/>
        <v>-1</v>
      </c>
      <c r="O32" s="16" t="str">
        <f t="shared" si="49"/>
        <v>Dentro do Prazo</v>
      </c>
      <c r="P32" s="43" t="s">
        <v>78</v>
      </c>
      <c r="Q32" s="52"/>
      <c r="R32" s="52"/>
    </row>
    <row r="33" spans="1:18" ht="19.2" thickTop="1" thickBot="1" x14ac:dyDescent="0.35">
      <c r="A33" s="2" t="s">
        <v>76</v>
      </c>
      <c r="B33" s="9">
        <v>45778</v>
      </c>
      <c r="C33" s="14">
        <v>46142</v>
      </c>
      <c r="D33" s="16" t="str">
        <f t="shared" ref="D33" ca="1" si="64">IF(C33= "", "--", IF(C33&lt;$T$3,"Férias Vencidas","A vencer"))</f>
        <v>A vencer</v>
      </c>
      <c r="E33" s="17">
        <f t="shared" ref="E33" si="65">C33+1</f>
        <v>46143</v>
      </c>
      <c r="F33" s="15">
        <f t="shared" ref="F33" si="66">IF(C33 = "", "--", C33+336)</f>
        <v>46478</v>
      </c>
      <c r="G33" s="21">
        <v>30</v>
      </c>
      <c r="H33" s="55"/>
      <c r="I33" s="56"/>
      <c r="J33" s="44">
        <f t="shared" ref="J33" si="67">G33-H33-I33</f>
        <v>30</v>
      </c>
      <c r="K33" s="54"/>
      <c r="L33" s="37">
        <f t="shared" ref="L33" si="68">SUM(K33+H33-1)</f>
        <v>-1</v>
      </c>
      <c r="M33" s="53"/>
      <c r="N33" s="37">
        <f t="shared" ref="N33" si="69">SUM(M33+I33-1)</f>
        <v>-1</v>
      </c>
      <c r="O33" s="16" t="str">
        <f t="shared" ref="O33" si="70">IF(C33 = "", "--", IF(K33&lt;C33,"Férias Não Vencidas",IF(K33&gt;F33,"Férias em Dobro","Dentro do Prazo")))</f>
        <v>Férias Não Vencidas</v>
      </c>
      <c r="P33" s="43"/>
      <c r="Q33" s="52"/>
      <c r="R33" s="52"/>
    </row>
    <row r="34" spans="1:18" ht="15" thickTop="1" x14ac:dyDescent="0.3"/>
  </sheetData>
  <sheetProtection algorithmName="SHA-512" hashValue="9mCoaccQv0tkS00yblj/IXJDWI4hbdtAQ8yjihB2a171rBN+ngD+z6sxOw6YtnO8mCraNHswSn4OSF/Gbe8BAQ==" saltValue="GEsb+pf7zeT/gJx44Gjrkg==" spinCount="100000" sheet="1" objects="1" scenarios="1"/>
  <dataConsolidate/>
  <mergeCells count="4">
    <mergeCell ref="B2:C2"/>
    <mergeCell ref="K2:L2"/>
    <mergeCell ref="B1:T1"/>
    <mergeCell ref="M2:N2"/>
  </mergeCells>
  <phoneticPr fontId="3" type="noConversion"/>
  <dataValidations count="1">
    <dataValidation type="list" allowBlank="1" showInputMessage="1" showErrorMessage="1" sqref="P3:R33" xr:uid="{1CC74F6A-F12C-46F2-9D91-05D6A6ADF3E7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BAD41-7D17-4711-85A6-CEDF257E55C3}">
  <dimension ref="A1:AA22"/>
  <sheetViews>
    <sheetView tabSelected="1" topLeftCell="A4" workbookViewId="0">
      <selection activeCell="B10" sqref="B10"/>
    </sheetView>
  </sheetViews>
  <sheetFormatPr defaultColWidth="12.6640625" defaultRowHeight="15.75" customHeight="1" x14ac:dyDescent="0.3"/>
  <cols>
    <col min="1" max="1" width="33" customWidth="1"/>
    <col min="3" max="3" width="17.33203125" customWidth="1"/>
    <col min="7" max="7" width="61.33203125" hidden="1" customWidth="1"/>
    <col min="8" max="8" width="33.77734375" customWidth="1"/>
  </cols>
  <sheetData>
    <row r="1" spans="1:27" ht="14.4" x14ac:dyDescent="0.3">
      <c r="A1" s="91" t="s">
        <v>80</v>
      </c>
      <c r="B1" s="91" t="s">
        <v>81</v>
      </c>
      <c r="C1" s="91" t="s">
        <v>82</v>
      </c>
      <c r="D1" s="91" t="s">
        <v>83</v>
      </c>
      <c r="E1" s="91" t="s">
        <v>84</v>
      </c>
      <c r="F1" s="91" t="s">
        <v>85</v>
      </c>
      <c r="G1" s="91" t="s">
        <v>86</v>
      </c>
      <c r="H1" s="91" t="s">
        <v>87</v>
      </c>
      <c r="I1" s="91" t="s">
        <v>88</v>
      </c>
      <c r="J1" s="91" t="s">
        <v>89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</row>
    <row r="2" spans="1:27" ht="14.4" x14ac:dyDescent="0.3">
      <c r="A2" s="92" t="s">
        <v>90</v>
      </c>
      <c r="B2" s="92" t="s">
        <v>91</v>
      </c>
      <c r="C2" s="92" t="s">
        <v>92</v>
      </c>
      <c r="D2" s="93">
        <v>44044</v>
      </c>
      <c r="E2" s="94">
        <v>2964</v>
      </c>
      <c r="F2" s="92" t="b">
        <v>1</v>
      </c>
      <c r="G2" s="95" t="s">
        <v>93</v>
      </c>
      <c r="H2" s="92" t="s">
        <v>94</v>
      </c>
      <c r="I2" s="92" t="s">
        <v>95</v>
      </c>
    </row>
    <row r="3" spans="1:27" ht="14.4" x14ac:dyDescent="0.3">
      <c r="A3" s="92" t="s">
        <v>96</v>
      </c>
      <c r="B3" s="92" t="s">
        <v>91</v>
      </c>
      <c r="C3" s="92" t="s">
        <v>92</v>
      </c>
      <c r="D3" s="96">
        <v>44405</v>
      </c>
      <c r="E3" s="94">
        <v>1764</v>
      </c>
      <c r="F3" s="92" t="b">
        <v>1</v>
      </c>
      <c r="G3" s="95" t="s">
        <v>97</v>
      </c>
      <c r="H3" s="92" t="s">
        <v>98</v>
      </c>
      <c r="I3" s="92" t="s">
        <v>99</v>
      </c>
    </row>
    <row r="4" spans="1:27" ht="14.4" x14ac:dyDescent="0.3">
      <c r="A4" s="92" t="s">
        <v>100</v>
      </c>
      <c r="B4" s="92" t="s">
        <v>91</v>
      </c>
      <c r="C4" s="92" t="s">
        <v>92</v>
      </c>
      <c r="D4" s="93">
        <v>44428</v>
      </c>
      <c r="E4" s="94">
        <v>2964</v>
      </c>
      <c r="F4" s="92" t="b">
        <v>1</v>
      </c>
      <c r="G4" s="95" t="s">
        <v>101</v>
      </c>
      <c r="H4" s="92" t="s">
        <v>102</v>
      </c>
      <c r="I4" s="92" t="s">
        <v>103</v>
      </c>
    </row>
    <row r="5" spans="1:27" ht="14.4" x14ac:dyDescent="0.3">
      <c r="A5" s="92" t="s">
        <v>104</v>
      </c>
      <c r="B5" s="92" t="s">
        <v>91</v>
      </c>
      <c r="C5" s="92" t="s">
        <v>92</v>
      </c>
      <c r="D5" s="93">
        <v>44922</v>
      </c>
      <c r="E5" s="94">
        <v>1874.25</v>
      </c>
      <c r="F5" s="92" t="b">
        <v>1</v>
      </c>
      <c r="G5" s="95" t="s">
        <v>105</v>
      </c>
      <c r="H5" s="92" t="s">
        <v>106</v>
      </c>
      <c r="I5" s="92" t="s">
        <v>107</v>
      </c>
    </row>
    <row r="6" spans="1:27" ht="14.4" x14ac:dyDescent="0.3">
      <c r="A6" s="92" t="s">
        <v>108</v>
      </c>
      <c r="B6" s="92" t="s">
        <v>91</v>
      </c>
      <c r="C6" s="92" t="s">
        <v>92</v>
      </c>
      <c r="D6" s="96">
        <v>44663</v>
      </c>
      <c r="E6" s="94">
        <v>1810.86</v>
      </c>
      <c r="F6" s="92" t="b">
        <v>1</v>
      </c>
      <c r="G6" s="95" t="s">
        <v>109</v>
      </c>
      <c r="H6" s="92" t="s">
        <v>110</v>
      </c>
      <c r="I6" s="92" t="s">
        <v>111</v>
      </c>
    </row>
    <row r="7" spans="1:27" ht="14.4" x14ac:dyDescent="0.3">
      <c r="A7" s="92" t="s">
        <v>112</v>
      </c>
      <c r="B7" s="92" t="s">
        <v>91</v>
      </c>
      <c r="C7" s="92" t="s">
        <v>92</v>
      </c>
      <c r="D7" s="93">
        <v>45111</v>
      </c>
      <c r="E7" s="94">
        <v>2075.85</v>
      </c>
      <c r="F7" s="92" t="b">
        <v>1</v>
      </c>
      <c r="G7" s="95" t="s">
        <v>113</v>
      </c>
      <c r="H7" s="92" t="s">
        <v>114</v>
      </c>
      <c r="I7" s="92" t="s">
        <v>115</v>
      </c>
    </row>
    <row r="8" spans="1:27" ht="14.4" x14ac:dyDescent="0.3">
      <c r="A8" s="92" t="s">
        <v>116</v>
      </c>
      <c r="B8" s="92" t="s">
        <v>91</v>
      </c>
      <c r="C8" s="92" t="s">
        <v>92</v>
      </c>
      <c r="D8" s="93">
        <v>43965</v>
      </c>
      <c r="E8" s="94">
        <v>2965.2</v>
      </c>
      <c r="F8" s="92" t="b">
        <v>1</v>
      </c>
      <c r="G8" s="95" t="s">
        <v>117</v>
      </c>
      <c r="H8" s="92" t="s">
        <v>118</v>
      </c>
      <c r="I8" s="92" t="s">
        <v>119</v>
      </c>
    </row>
    <row r="9" spans="1:27" ht="14.4" x14ac:dyDescent="0.3">
      <c r="A9" s="92" t="s">
        <v>120</v>
      </c>
      <c r="B9" s="92" t="s">
        <v>91</v>
      </c>
      <c r="C9" s="92" t="s">
        <v>92</v>
      </c>
      <c r="D9" s="93">
        <v>44734</v>
      </c>
      <c r="E9" s="94">
        <v>1764</v>
      </c>
      <c r="F9" s="92" t="b">
        <v>1</v>
      </c>
      <c r="G9" s="95" t="s">
        <v>121</v>
      </c>
      <c r="H9" s="92" t="s">
        <v>122</v>
      </c>
      <c r="I9" s="92" t="s">
        <v>123</v>
      </c>
    </row>
    <row r="10" spans="1:27" ht="14.4" x14ac:dyDescent="0.3">
      <c r="A10" s="92" t="s">
        <v>124</v>
      </c>
      <c r="B10" s="92" t="s">
        <v>91</v>
      </c>
      <c r="C10" s="92" t="s">
        <v>92</v>
      </c>
      <c r="D10" s="93">
        <v>43454</v>
      </c>
      <c r="E10" s="94">
        <v>7944.21</v>
      </c>
      <c r="F10" s="92" t="b">
        <v>1</v>
      </c>
      <c r="G10" s="95" t="s">
        <v>125</v>
      </c>
      <c r="H10" s="92" t="s">
        <v>126</v>
      </c>
      <c r="I10" s="92" t="s">
        <v>127</v>
      </c>
    </row>
    <row r="11" spans="1:27" ht="14.4" x14ac:dyDescent="0.3">
      <c r="A11" s="92" t="s">
        <v>128</v>
      </c>
      <c r="B11" s="92" t="s">
        <v>129</v>
      </c>
      <c r="C11" s="92" t="s">
        <v>130</v>
      </c>
      <c r="D11" s="93">
        <v>45433</v>
      </c>
      <c r="E11" s="94">
        <v>1779.12</v>
      </c>
      <c r="F11" s="92" t="b">
        <v>1</v>
      </c>
      <c r="G11" s="95" t="s">
        <v>131</v>
      </c>
      <c r="I11" s="92" t="s">
        <v>132</v>
      </c>
      <c r="J11" s="92"/>
    </row>
    <row r="12" spans="1:27" ht="14.4" x14ac:dyDescent="0.3">
      <c r="A12" s="92" t="s">
        <v>61</v>
      </c>
      <c r="B12" s="92" t="s">
        <v>129</v>
      </c>
      <c r="C12" s="92" t="s">
        <v>130</v>
      </c>
      <c r="D12" s="93">
        <v>45796</v>
      </c>
      <c r="E12" s="94">
        <v>1630.86</v>
      </c>
      <c r="F12" s="92" t="b">
        <v>1</v>
      </c>
      <c r="G12" s="95" t="s">
        <v>133</v>
      </c>
      <c r="I12" s="92" t="s">
        <v>134</v>
      </c>
    </row>
    <row r="13" spans="1:27" ht="14.4" x14ac:dyDescent="0.3">
      <c r="A13" s="92" t="s">
        <v>135</v>
      </c>
      <c r="B13" s="92" t="s">
        <v>129</v>
      </c>
      <c r="C13" s="92" t="s">
        <v>130</v>
      </c>
      <c r="D13" s="93">
        <v>45132</v>
      </c>
      <c r="E13" s="94">
        <v>1779.12</v>
      </c>
      <c r="F13" s="92" t="b">
        <v>1</v>
      </c>
      <c r="G13" s="95" t="s">
        <v>136</v>
      </c>
      <c r="I13" s="92" t="s">
        <v>137</v>
      </c>
    </row>
    <row r="14" spans="1:27" ht="14.4" x14ac:dyDescent="0.3">
      <c r="A14" s="92" t="s">
        <v>138</v>
      </c>
      <c r="B14" s="92" t="s">
        <v>129</v>
      </c>
      <c r="C14" s="92" t="s">
        <v>130</v>
      </c>
      <c r="D14" s="96">
        <v>45198</v>
      </c>
      <c r="E14" s="94">
        <v>1927.38</v>
      </c>
      <c r="F14" s="92" t="b">
        <v>1</v>
      </c>
      <c r="G14" s="95" t="s">
        <v>139</v>
      </c>
      <c r="I14" s="92" t="s">
        <v>140</v>
      </c>
    </row>
    <row r="15" spans="1:27" ht="14.4" x14ac:dyDescent="0.3">
      <c r="A15" s="92" t="s">
        <v>141</v>
      </c>
      <c r="B15" s="92" t="s">
        <v>129</v>
      </c>
      <c r="C15" s="92" t="s">
        <v>130</v>
      </c>
      <c r="D15" s="97" t="s">
        <v>142</v>
      </c>
      <c r="E15" s="94">
        <v>1821.6</v>
      </c>
      <c r="F15" s="92" t="b">
        <v>1</v>
      </c>
      <c r="G15" s="95" t="s">
        <v>143</v>
      </c>
      <c r="I15" s="92" t="s">
        <v>144</v>
      </c>
    </row>
    <row r="16" spans="1:27" ht="14.4" x14ac:dyDescent="0.3">
      <c r="A16" s="92" t="s">
        <v>145</v>
      </c>
      <c r="B16" s="92" t="s">
        <v>129</v>
      </c>
      <c r="C16" s="92" t="s">
        <v>130</v>
      </c>
      <c r="D16" s="97" t="s">
        <v>142</v>
      </c>
      <c r="E16" s="94">
        <v>1630.86</v>
      </c>
      <c r="F16" s="92" t="b">
        <v>1</v>
      </c>
      <c r="G16" s="95" t="s">
        <v>146</v>
      </c>
      <c r="I16" s="92" t="s">
        <v>147</v>
      </c>
    </row>
    <row r="17" spans="1:10" ht="14.4" x14ac:dyDescent="0.3">
      <c r="A17" s="92" t="s">
        <v>148</v>
      </c>
      <c r="B17" s="92" t="s">
        <v>129</v>
      </c>
      <c r="C17" s="92" t="s">
        <v>130</v>
      </c>
      <c r="D17" s="96">
        <v>46001</v>
      </c>
      <c r="E17" s="94">
        <v>2033.38</v>
      </c>
      <c r="F17" s="92" t="b">
        <v>1</v>
      </c>
      <c r="G17" s="95" t="s">
        <v>149</v>
      </c>
      <c r="I17" s="92" t="s">
        <v>150</v>
      </c>
      <c r="J17" s="92"/>
    </row>
    <row r="18" spans="1:10" ht="14.4" x14ac:dyDescent="0.3">
      <c r="A18" s="92" t="s">
        <v>151</v>
      </c>
      <c r="B18" s="92" t="s">
        <v>152</v>
      </c>
      <c r="C18" s="92" t="s">
        <v>153</v>
      </c>
      <c r="D18" s="96">
        <v>45359</v>
      </c>
      <c r="E18" s="94"/>
      <c r="F18" s="92" t="b">
        <v>1</v>
      </c>
      <c r="G18" s="92"/>
      <c r="H18" s="92" t="s">
        <v>154</v>
      </c>
      <c r="I18" s="92" t="s">
        <v>155</v>
      </c>
    </row>
    <row r="19" spans="1:10" ht="14.4" x14ac:dyDescent="0.3">
      <c r="A19" s="92" t="s">
        <v>156</v>
      </c>
      <c r="B19" s="92" t="s">
        <v>157</v>
      </c>
      <c r="C19" s="92" t="s">
        <v>158</v>
      </c>
      <c r="D19" s="93">
        <v>45413</v>
      </c>
      <c r="F19" s="92" t="b">
        <v>1</v>
      </c>
      <c r="G19" s="92"/>
      <c r="H19" s="92" t="s">
        <v>159</v>
      </c>
      <c r="I19" s="92" t="s">
        <v>160</v>
      </c>
    </row>
    <row r="20" spans="1:10" ht="14.4" x14ac:dyDescent="0.3">
      <c r="A20" s="92" t="s">
        <v>161</v>
      </c>
      <c r="B20" s="92" t="s">
        <v>162</v>
      </c>
      <c r="C20" s="92" t="s">
        <v>163</v>
      </c>
      <c r="D20" s="96">
        <v>45608</v>
      </c>
      <c r="F20" s="92" t="b">
        <v>1</v>
      </c>
      <c r="G20" s="92"/>
      <c r="H20" s="92" t="s">
        <v>164</v>
      </c>
      <c r="I20" s="92" t="s">
        <v>165</v>
      </c>
    </row>
    <row r="21" spans="1:10" ht="14.4" x14ac:dyDescent="0.3">
      <c r="A21" s="92" t="s">
        <v>166</v>
      </c>
      <c r="B21" s="92" t="s">
        <v>167</v>
      </c>
      <c r="C21" s="92" t="s">
        <v>168</v>
      </c>
      <c r="D21" s="93">
        <v>45818</v>
      </c>
      <c r="F21" s="92" t="b">
        <v>1</v>
      </c>
      <c r="G21" s="92"/>
      <c r="H21" s="92" t="s">
        <v>169</v>
      </c>
      <c r="I21" s="92" t="s">
        <v>170</v>
      </c>
    </row>
    <row r="22" spans="1:10" ht="14.4" x14ac:dyDescent="0.3">
      <c r="A22" s="92" t="s">
        <v>171</v>
      </c>
      <c r="B22" s="92" t="s">
        <v>172</v>
      </c>
      <c r="C22" s="92" t="s">
        <v>173</v>
      </c>
      <c r="D22" s="93">
        <v>42748</v>
      </c>
      <c r="F22" s="92" t="b">
        <v>1</v>
      </c>
      <c r="G22" s="92"/>
      <c r="H22" s="92" t="s">
        <v>174</v>
      </c>
      <c r="I22" s="92" t="s">
        <v>175</v>
      </c>
    </row>
  </sheetData>
  <hyperlinks>
    <hyperlink ref="G2" r:id="rId1" xr:uid="{72DC67B0-0300-417F-819E-3E0EA3CC3E92}"/>
    <hyperlink ref="G3" r:id="rId2" xr:uid="{8778DD75-5D9B-4D12-9779-9B2982E80152}"/>
    <hyperlink ref="G4" r:id="rId3" xr:uid="{E7205798-DE34-4C38-87B1-5A5E12B2DE8B}"/>
    <hyperlink ref="G5" r:id="rId4" xr:uid="{6190A604-9F2C-46C3-B0BB-BDC50C08E850}"/>
    <hyperlink ref="G6" r:id="rId5" xr:uid="{75D58491-869A-4A8C-A010-335788932529}"/>
    <hyperlink ref="G7" r:id="rId6" xr:uid="{CD944924-E4B1-452F-80CF-8F9D932EF166}"/>
    <hyperlink ref="G8" r:id="rId7" xr:uid="{5832A9B4-8087-457D-A358-3C8E7A8D68BE}"/>
    <hyperlink ref="G9" r:id="rId8" xr:uid="{59DFDCFA-3E5F-4564-93E6-6053BC9D87F5}"/>
    <hyperlink ref="G10" r:id="rId9" xr:uid="{318AB59C-2D7A-4231-A925-65E1F75B051C}"/>
    <hyperlink ref="G11" r:id="rId10" xr:uid="{90E0587B-8352-498F-A89C-42E24A648D0F}"/>
    <hyperlink ref="G12" r:id="rId11" xr:uid="{AF31E475-32FC-4B93-89D1-92DC45459226}"/>
    <hyperlink ref="G13" r:id="rId12" xr:uid="{818C3CE9-35A6-416A-97D7-0FFBBF6E98ED}"/>
    <hyperlink ref="G14" r:id="rId13" xr:uid="{D8ADB6CD-1942-419B-A6D5-E71E5ECBC60A}"/>
    <hyperlink ref="G15" r:id="rId14" xr:uid="{653D4D3C-5D6E-4A7E-A550-91DF257C9BFC}"/>
    <hyperlink ref="G16" r:id="rId15" xr:uid="{E06DD5CF-2EB4-4BC2-BCEF-17665EAEC8FF}"/>
    <hyperlink ref="G17" r:id="rId16" xr:uid="{CE275E1E-E8E5-4C65-87A7-60A1D6AC5D9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Orientações</vt:lpstr>
      <vt:lpstr>Controle de Férias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Documentos Green Máquinas</dc:creator>
  <cp:lastModifiedBy>Antônio Caetano - Gerente de serviços Green Máquinas</cp:lastModifiedBy>
  <dcterms:created xsi:type="dcterms:W3CDTF">2026-01-08T21:04:57Z</dcterms:created>
  <dcterms:modified xsi:type="dcterms:W3CDTF">2026-04-16T02:39:08Z</dcterms:modified>
</cp:coreProperties>
</file>